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PycharmProjects\UniqueWordCalculator\"/>
    </mc:Choice>
  </mc:AlternateContent>
  <xr:revisionPtr revIDLastSave="0" documentId="13_ncr:1_{BFFC22B2-2644-4DC2-A4CB-B0F53A13273C}" xr6:coauthVersionLast="47" xr6:coauthVersionMax="47" xr10:uidLastSave="{00000000-0000-0000-0000-000000000000}"/>
  <bookViews>
    <workbookView xWindow="31050" yWindow="2445" windowWidth="23865" windowHeight="13245" activeTab="4" xr2:uid="{00000000-000D-0000-FFFF-FFFF00000000}"/>
  </bookViews>
  <sheets>
    <sheet name="Origin" sheetId="1" r:id="rId1"/>
    <sheet name="processing-1" sheetId="2" r:id="rId2"/>
    <sheet name="processing-2" sheetId="3" r:id="rId3"/>
    <sheet name="SpeechStat" sheetId="4" r:id="rId4"/>
    <sheet name="Sheet1" sheetId="5" r:id="rId5"/>
  </sheets>
  <definedNames>
    <definedName name="_xlnm._FilterDatabase" localSheetId="1" hidden="1">'processing-1'!$A$1:$B$466</definedName>
    <definedName name="_xlnm._FilterDatabase" localSheetId="2" hidden="1">'processing-2'!$A$1:$L$69</definedName>
    <definedName name="_xlnm._FilterDatabase" localSheetId="3" hidden="1">SpeechStat!$E$1:$E$34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3" l="1"/>
  <c r="L2" i="3" s="1"/>
  <c r="K12" i="3"/>
  <c r="L12" i="3" s="1"/>
  <c r="K13" i="3"/>
  <c r="L13" i="3" s="1"/>
  <c r="K14" i="3"/>
  <c r="L14" i="3" s="1"/>
  <c r="K15" i="3"/>
  <c r="L15" i="3" s="1"/>
  <c r="K16" i="3"/>
  <c r="L16" i="3" s="1"/>
  <c r="K17" i="3"/>
  <c r="L17" i="3" s="1"/>
  <c r="K18" i="3"/>
  <c r="L18" i="3" s="1"/>
  <c r="K19" i="3"/>
  <c r="L19" i="3" s="1"/>
  <c r="K20" i="3"/>
  <c r="L20" i="3" s="1"/>
  <c r="K21" i="3"/>
  <c r="L21" i="3" s="1"/>
  <c r="K22" i="3"/>
  <c r="L22" i="3" s="1"/>
  <c r="K23" i="3"/>
  <c r="L23" i="3" s="1"/>
  <c r="K24" i="3"/>
  <c r="L24" i="3" s="1"/>
  <c r="K25" i="3"/>
  <c r="L25" i="3" s="1"/>
  <c r="K26" i="3"/>
  <c r="L26" i="3" s="1"/>
  <c r="K27" i="3"/>
  <c r="L27" i="3" s="1"/>
  <c r="K28" i="3"/>
  <c r="L28" i="3" s="1"/>
  <c r="K29" i="3"/>
  <c r="L29" i="3" s="1"/>
  <c r="K30" i="3"/>
  <c r="L30" i="3" s="1"/>
  <c r="K31" i="3"/>
  <c r="L31" i="3" s="1"/>
  <c r="K32" i="3"/>
  <c r="L32" i="3" s="1"/>
  <c r="K33" i="3"/>
  <c r="L33" i="3" s="1"/>
  <c r="K3" i="3"/>
  <c r="L3" i="3" s="1"/>
  <c r="K34" i="3"/>
  <c r="L34" i="3" s="1"/>
  <c r="K35" i="3"/>
  <c r="L35" i="3" s="1"/>
  <c r="K4" i="3"/>
  <c r="L4" i="3" s="1"/>
  <c r="K36" i="3"/>
  <c r="L36" i="3" s="1"/>
  <c r="K37" i="3"/>
  <c r="L37" i="3" s="1"/>
  <c r="K38" i="3"/>
  <c r="L38" i="3" s="1"/>
  <c r="K39" i="3"/>
  <c r="L39" i="3" s="1"/>
  <c r="K40" i="3"/>
  <c r="L40" i="3" s="1"/>
  <c r="K41" i="3"/>
  <c r="L41" i="3" s="1"/>
  <c r="K42" i="3"/>
  <c r="L42" i="3" s="1"/>
  <c r="K43" i="3"/>
  <c r="L43" i="3" s="1"/>
  <c r="K5" i="3"/>
  <c r="L5" i="3" s="1"/>
  <c r="K6" i="3"/>
  <c r="L6" i="3" s="1"/>
  <c r="K44" i="3"/>
  <c r="L44" i="3" s="1"/>
  <c r="K45" i="3"/>
  <c r="L45" i="3" s="1"/>
  <c r="K46" i="3"/>
  <c r="L46" i="3" s="1"/>
  <c r="K7" i="3"/>
  <c r="L7" i="3" s="1"/>
  <c r="K47" i="3"/>
  <c r="L47" i="3" s="1"/>
  <c r="K8" i="3"/>
  <c r="L8" i="3" s="1"/>
  <c r="K48" i="3"/>
  <c r="L48" i="3" s="1"/>
  <c r="K49" i="3"/>
  <c r="L49" i="3" s="1"/>
  <c r="K50" i="3"/>
  <c r="L50" i="3" s="1"/>
  <c r="K51" i="3"/>
  <c r="L51" i="3" s="1"/>
  <c r="K52" i="3"/>
  <c r="L52" i="3" s="1"/>
  <c r="K53" i="3"/>
  <c r="L53" i="3" s="1"/>
  <c r="K54" i="3"/>
  <c r="L54" i="3" s="1"/>
  <c r="K55" i="3"/>
  <c r="L55" i="3" s="1"/>
  <c r="K56" i="3"/>
  <c r="L56" i="3" s="1"/>
  <c r="K57" i="3"/>
  <c r="L57" i="3" s="1"/>
  <c r="K58" i="3"/>
  <c r="L58" i="3" s="1"/>
  <c r="K59" i="3"/>
  <c r="L59" i="3" s="1"/>
  <c r="K9" i="3"/>
  <c r="L9" i="3" s="1"/>
  <c r="K10" i="3"/>
  <c r="L10" i="3" s="1"/>
  <c r="K60" i="3"/>
  <c r="L60" i="3" s="1"/>
  <c r="K61" i="3"/>
  <c r="L61" i="3" s="1"/>
  <c r="K62" i="3"/>
  <c r="L62" i="3" s="1"/>
  <c r="K63" i="3"/>
  <c r="L63" i="3" s="1"/>
  <c r="K64" i="3"/>
  <c r="L64" i="3" s="1"/>
  <c r="K65" i="3"/>
  <c r="L65" i="3" s="1"/>
  <c r="K66" i="3"/>
  <c r="L66" i="3" s="1"/>
  <c r="K67" i="3"/>
  <c r="L67" i="3" s="1"/>
  <c r="K68" i="3"/>
  <c r="L68" i="3" s="1"/>
  <c r="K11" i="3"/>
  <c r="L11" i="3" s="1"/>
  <c r="I2" i="3"/>
  <c r="I12" i="3"/>
  <c r="J12" i="3" s="1"/>
  <c r="I13" i="3"/>
  <c r="I14" i="3"/>
  <c r="I15" i="3"/>
  <c r="I16" i="3"/>
  <c r="I17" i="3"/>
  <c r="I18" i="3"/>
  <c r="I19" i="3"/>
  <c r="I20" i="3"/>
  <c r="I21" i="3"/>
  <c r="I22" i="3"/>
  <c r="I23" i="3"/>
  <c r="I24" i="3"/>
  <c r="J24" i="3" s="1"/>
  <c r="I25" i="3"/>
  <c r="J25" i="3" s="1"/>
  <c r="I26" i="3"/>
  <c r="I27" i="3"/>
  <c r="I28" i="3"/>
  <c r="I29" i="3"/>
  <c r="I30" i="3"/>
  <c r="I31" i="3"/>
  <c r="I32" i="3"/>
  <c r="J32" i="3" s="1"/>
  <c r="I33" i="3"/>
  <c r="I3" i="3"/>
  <c r="I34" i="3"/>
  <c r="I35" i="3"/>
  <c r="J35" i="3" s="1"/>
  <c r="I4" i="3"/>
  <c r="J4" i="3" s="1"/>
  <c r="I36" i="3"/>
  <c r="I37" i="3"/>
  <c r="I38" i="3"/>
  <c r="I39" i="3"/>
  <c r="I40" i="3"/>
  <c r="I41" i="3"/>
  <c r="I42" i="3"/>
  <c r="J42" i="3" s="1"/>
  <c r="I43" i="3"/>
  <c r="I5" i="3"/>
  <c r="I6" i="3"/>
  <c r="I44" i="3"/>
  <c r="J44" i="3" s="1"/>
  <c r="I45" i="3"/>
  <c r="J45" i="3" s="1"/>
  <c r="I46" i="3"/>
  <c r="I7" i="3"/>
  <c r="I47" i="3"/>
  <c r="I8" i="3"/>
  <c r="I48" i="3"/>
  <c r="I49" i="3"/>
  <c r="I50" i="3"/>
  <c r="J50" i="3" s="1"/>
  <c r="I51" i="3"/>
  <c r="I52" i="3"/>
  <c r="I53" i="3"/>
  <c r="I54" i="3"/>
  <c r="J54" i="3" s="1"/>
  <c r="I55" i="3"/>
  <c r="J55" i="3" s="1"/>
  <c r="I56" i="3"/>
  <c r="I57" i="3"/>
  <c r="I58" i="3"/>
  <c r="I59" i="3"/>
  <c r="I9" i="3"/>
  <c r="I10" i="3"/>
  <c r="I60" i="3"/>
  <c r="J60" i="3" s="1"/>
  <c r="I61" i="3"/>
  <c r="I62" i="3"/>
  <c r="I63" i="3"/>
  <c r="I64" i="3"/>
  <c r="J64" i="3" s="1"/>
  <c r="I65" i="3"/>
  <c r="J65" i="3" s="1"/>
  <c r="I66" i="3"/>
  <c r="I67" i="3"/>
  <c r="I68" i="3"/>
  <c r="I11" i="3"/>
  <c r="J9" i="3" l="1"/>
  <c r="J40" i="3"/>
  <c r="J30" i="3"/>
  <c r="J48" i="3"/>
  <c r="J68" i="3"/>
  <c r="J38" i="3"/>
  <c r="J66" i="3"/>
  <c r="J56" i="3"/>
  <c r="J46" i="3"/>
  <c r="J36" i="3"/>
  <c r="J26" i="3"/>
  <c r="J14" i="3"/>
  <c r="J41" i="3"/>
  <c r="J19" i="3"/>
  <c r="J11" i="3"/>
  <c r="J10" i="3"/>
  <c r="J49" i="3"/>
  <c r="J31" i="3"/>
  <c r="J47" i="3"/>
  <c r="J20" i="3"/>
  <c r="J18" i="3"/>
  <c r="J16" i="3"/>
  <c r="J13" i="3"/>
  <c r="J61" i="3"/>
  <c r="J51" i="3"/>
  <c r="J43" i="3"/>
  <c r="J33" i="3"/>
  <c r="J21" i="3"/>
  <c r="J59" i="3"/>
  <c r="J8" i="3"/>
  <c r="J39" i="3"/>
  <c r="J29" i="3"/>
  <c r="J17" i="3"/>
  <c r="J62" i="3"/>
  <c r="J52" i="3"/>
  <c r="J5" i="3"/>
  <c r="J3" i="3"/>
  <c r="J22" i="3"/>
  <c r="J67" i="3"/>
  <c r="J57" i="3"/>
  <c r="J7" i="3"/>
  <c r="J37" i="3"/>
  <c r="J27" i="3"/>
  <c r="J15" i="3"/>
  <c r="J58" i="3"/>
  <c r="J28" i="3"/>
  <c r="J63" i="3"/>
  <c r="J53" i="3"/>
  <c r="J6" i="3"/>
  <c r="J34" i="3"/>
  <c r="J23" i="3"/>
  <c r="J2" i="3"/>
</calcChain>
</file>

<file path=xl/sharedStrings.xml><?xml version="1.0" encoding="utf-8"?>
<sst xmlns="http://schemas.openxmlformats.org/spreadsheetml/2006/main" count="1754" uniqueCount="308">
  <si>
    <t xml:space="preserve">tiers? &lt;exists&gt; </t>
  </si>
  <si>
    <t xml:space="preserve">item []: </t>
  </si>
  <si>
    <t xml:space="preserve">    item [1]:</t>
  </si>
  <si>
    <t xml:space="preserve">        intervals [1]:</t>
  </si>
  <si>
    <t xml:space="preserve">        intervals [2]:</t>
  </si>
  <si>
    <t xml:space="preserve">        intervals [3]:</t>
  </si>
  <si>
    <t xml:space="preserve">        intervals [4]:</t>
  </si>
  <si>
    <t xml:space="preserve">        intervals [5]:</t>
  </si>
  <si>
    <t xml:space="preserve">        intervals [6]:</t>
  </si>
  <si>
    <t xml:space="preserve">        intervals [7]:</t>
  </si>
  <si>
    <t xml:space="preserve">        intervals [8]:</t>
  </si>
  <si>
    <t xml:space="preserve">        intervals [9]:</t>
  </si>
  <si>
    <t xml:space="preserve">        intervals [10]:</t>
  </si>
  <si>
    <t xml:space="preserve">        intervals [11]:</t>
  </si>
  <si>
    <t xml:space="preserve">        intervals [12]:</t>
  </si>
  <si>
    <t xml:space="preserve">        intervals [13]:</t>
  </si>
  <si>
    <t xml:space="preserve">        intervals [14]:</t>
  </si>
  <si>
    <t xml:space="preserve">        intervals [15]:</t>
  </si>
  <si>
    <t xml:space="preserve">        intervals [16]:</t>
  </si>
  <si>
    <t xml:space="preserve">        intervals [17]:</t>
  </si>
  <si>
    <t xml:space="preserve">        intervals [18]:</t>
  </si>
  <si>
    <t xml:space="preserve">        intervals [19]:</t>
  </si>
  <si>
    <t xml:space="preserve">        intervals [20]:</t>
  </si>
  <si>
    <t xml:space="preserve">        intervals [21]:</t>
  </si>
  <si>
    <t xml:space="preserve">        intervals [22]:</t>
  </si>
  <si>
    <t xml:space="preserve">        intervals [23]:</t>
  </si>
  <si>
    <t xml:space="preserve">        intervals [24]:</t>
  </si>
  <si>
    <t xml:space="preserve">        intervals [25]:</t>
  </si>
  <si>
    <t xml:space="preserve">        intervals [26]:</t>
  </si>
  <si>
    <t xml:space="preserve">        intervals [27]:</t>
  </si>
  <si>
    <t xml:space="preserve">        intervals [28]:</t>
  </si>
  <si>
    <t xml:space="preserve">        intervals [29]:</t>
  </si>
  <si>
    <t xml:space="preserve">        intervals [30]:</t>
  </si>
  <si>
    <t xml:space="preserve">        intervals [31]:</t>
  </si>
  <si>
    <t xml:space="preserve">        intervals [32]:</t>
  </si>
  <si>
    <t xml:space="preserve">        intervals [33]:</t>
  </si>
  <si>
    <t xml:space="preserve">        intervals [34]:</t>
  </si>
  <si>
    <t xml:space="preserve">        intervals [35]:</t>
  </si>
  <si>
    <t xml:space="preserve">        intervals [36]:</t>
  </si>
  <si>
    <t xml:space="preserve">        intervals [37]:</t>
  </si>
  <si>
    <t xml:space="preserve">        intervals [38]:</t>
  </si>
  <si>
    <t xml:space="preserve">        intervals [39]:</t>
  </si>
  <si>
    <t xml:space="preserve">        intervals [40]:</t>
  </si>
  <si>
    <t xml:space="preserve">        intervals [41]:</t>
  </si>
  <si>
    <t xml:space="preserve">        intervals [42]:</t>
  </si>
  <si>
    <t xml:space="preserve">        intervals [43]:</t>
  </si>
  <si>
    <t xml:space="preserve">        intervals [44]:</t>
  </si>
  <si>
    <t xml:space="preserve">        intervals [45]:</t>
  </si>
  <si>
    <t xml:space="preserve">        intervals [46]:</t>
  </si>
  <si>
    <t xml:space="preserve">        intervals [47]:</t>
  </si>
  <si>
    <t xml:space="preserve">        intervals [48]:</t>
  </si>
  <si>
    <t xml:space="preserve">        intervals [49]:</t>
  </si>
  <si>
    <t xml:space="preserve">        intervals [50]:</t>
  </si>
  <si>
    <t xml:space="preserve">        intervals [51]:</t>
  </si>
  <si>
    <t xml:space="preserve">        intervals [52]:</t>
  </si>
  <si>
    <t xml:space="preserve">        intervals [53]:</t>
  </si>
  <si>
    <t xml:space="preserve">        intervals [54]:</t>
  </si>
  <si>
    <t xml:space="preserve">        intervals [55]:</t>
  </si>
  <si>
    <t xml:space="preserve">        intervals [56]:</t>
  </si>
  <si>
    <t xml:space="preserve">        intervals [57]:</t>
  </si>
  <si>
    <t xml:space="preserve">        intervals [58]:</t>
  </si>
  <si>
    <t xml:space="preserve">    item [3]:</t>
  </si>
  <si>
    <t xml:space="preserve">?File type </t>
  </si>
  <si>
    <t xml:space="preserve"> "ooTextFile"</t>
  </si>
  <si>
    <t xml:space="preserve">Object class </t>
  </si>
  <si>
    <t xml:space="preserve"> "TextGrid"</t>
  </si>
  <si>
    <t xml:space="preserve">xmin </t>
  </si>
  <si>
    <t xml:space="preserve">xmax </t>
  </si>
  <si>
    <t xml:space="preserve">size </t>
  </si>
  <si>
    <t xml:space="preserve">        class </t>
  </si>
  <si>
    <t xml:space="preserve"> "IntervalTier" </t>
  </si>
  <si>
    <t xml:space="preserve">        name </t>
  </si>
  <si>
    <t xml:space="preserve"> "P002" </t>
  </si>
  <si>
    <t xml:space="preserve">        xmin </t>
  </si>
  <si>
    <t xml:space="preserve">        xmax </t>
  </si>
  <si>
    <t xml:space="preserve">        intervals: size </t>
  </si>
  <si>
    <t xml:space="preserve">            xmin </t>
  </si>
  <si>
    <t xml:space="preserve">            xmax </t>
  </si>
  <si>
    <t xml:space="preserve">            text </t>
  </si>
  <si>
    <t xml:space="preserve"> "" </t>
  </si>
  <si>
    <t xml:space="preserve"> "oh." </t>
  </si>
  <si>
    <t xml:space="preserve"> "it _x0019_s gone." </t>
  </si>
  <si>
    <t xml:space="preserve"> "play peekaboo." </t>
  </si>
  <si>
    <t xml:space="preserve"> "alright this is us." </t>
  </si>
  <si>
    <t xml:space="preserve"> "we are going to go.." </t>
  </si>
  <si>
    <t xml:space="preserve"> "where is mama?" </t>
  </si>
  <si>
    <t xml:space="preserve"> "boo." </t>
  </si>
  <si>
    <t xml:space="preserve"> "where is.." </t>
  </si>
  <si>
    <t xml:space="preserve"> "you want to look in behind here." </t>
  </si>
  <si>
    <t xml:space="preserve"> "well, where is mama?" </t>
  </si>
  <si>
    <t xml:space="preserve"> "boo!" </t>
  </si>
  <si>
    <t xml:space="preserve"> "*laugh*" </t>
  </si>
  <si>
    <t xml:space="preserve"> "er er er." </t>
  </si>
  <si>
    <t xml:space="preserve"> "where is [childname]?" </t>
  </si>
  <si>
    <t xml:space="preserve"> "he.." </t>
  </si>
  <si>
    <t xml:space="preserve"> "oh, where is [childname]." </t>
  </si>
  <si>
    <t xml:space="preserve"> "there she is." </t>
  </si>
  <si>
    <t xml:space="preserve"> "oh, i _x0019_ve got the duck." </t>
  </si>
  <si>
    <t xml:space="preserve"> "sorry darling." </t>
  </si>
  <si>
    <t xml:space="preserve"> "here are the ducks." </t>
  </si>
  <si>
    <t xml:space="preserve"> "uh uh uh uh" </t>
  </si>
  <si>
    <t xml:space="preserve"> "mmm" </t>
  </si>
  <si>
    <t xml:space="preserve"> "wheere is..where is [Childname[?" </t>
  </si>
  <si>
    <t xml:space="preserve"> "wheris duck?" </t>
  </si>
  <si>
    <t xml:space="preserve"> "silences" </t>
  </si>
  <si>
    <t xml:space="preserve"> "silent" </t>
  </si>
  <si>
    <t xml:space="preserve"> "sounding" </t>
  </si>
  <si>
    <t>text</t>
  </si>
  <si>
    <t>timespan</t>
  </si>
  <si>
    <t>onset</t>
    <phoneticPr fontId="18" type="noConversion"/>
  </si>
  <si>
    <t>offset</t>
    <phoneticPr fontId="18" type="noConversion"/>
  </si>
  <si>
    <t>agent</t>
  </si>
  <si>
    <t>utterance-ID</t>
  </si>
  <si>
    <t>parent</t>
    <phoneticPr fontId="18" type="noConversion"/>
  </si>
  <si>
    <t>infant</t>
    <phoneticPr fontId="18" type="noConversion"/>
  </si>
  <si>
    <t xml:space="preserve"> "where is duck?" </t>
    <phoneticPr fontId="18" type="noConversion"/>
  </si>
  <si>
    <t xml:space="preserve"> "oh, i've got the duck." </t>
    <phoneticPr fontId="18" type="noConversion"/>
  </si>
  <si>
    <t xml:space="preserve"> "wheere is.. where is [Childname]?" </t>
    <phoneticPr fontId="18" type="noConversion"/>
  </si>
  <si>
    <t>dropdown list</t>
  </si>
  <si>
    <t>build-up cues</t>
  </si>
  <si>
    <t>releasing cues</t>
  </si>
  <si>
    <t>singing</t>
  </si>
  <si>
    <t>screen (current)</t>
  </si>
  <si>
    <t>screen (previous)</t>
  </si>
  <si>
    <t>screen (uncategorised)</t>
  </si>
  <si>
    <t>we langauge</t>
  </si>
  <si>
    <t>directiveness</t>
  </si>
  <si>
    <t>inference</t>
  </si>
  <si>
    <t>asking willingeness</t>
  </si>
  <si>
    <t>assessing knowledge</t>
  </si>
  <si>
    <t>label or description</t>
  </si>
  <si>
    <t>questions and answers</t>
  </si>
  <si>
    <t>imitation or co-vocalising</t>
  </si>
  <si>
    <t>uncertainty and confusion</t>
  </si>
  <si>
    <t>attentional vocatives</t>
  </si>
  <si>
    <t>surprising vocatives</t>
  </si>
  <si>
    <t>filler noise</t>
  </si>
  <si>
    <t>confirmation and correction</t>
  </si>
  <si>
    <t>disagreement or impatience</t>
  </si>
  <si>
    <t>comforting</t>
  </si>
  <si>
    <t>looking for mummy</t>
  </si>
  <si>
    <t>irrelevant</t>
  </si>
  <si>
    <t>uncodeable</t>
  </si>
  <si>
    <t>silence</t>
  </si>
  <si>
    <t>laugh</t>
  </si>
  <si>
    <t>SpeechCategory</t>
  </si>
  <si>
    <t>overlap (Y = 1)</t>
  </si>
  <si>
    <t>WordCount</t>
  </si>
  <si>
    <t>WordPerS</t>
  </si>
  <si>
    <t>Dur</t>
  </si>
  <si>
    <t>noise (Y = 1)</t>
  </si>
  <si>
    <t>utterance &lt; 400ms?</t>
  </si>
  <si>
    <t>silence</t>
    <phoneticPr fontId="18" type="noConversion"/>
  </si>
  <si>
    <t>laugh</t>
    <phoneticPr fontId="18" type="noConversion"/>
  </si>
  <si>
    <t>releasing cues</t>
    <phoneticPr fontId="18" type="noConversion"/>
  </si>
  <si>
    <t>DIME-CV-01--P002</t>
  </si>
  <si>
    <t>DIME-CV-01--I002</t>
  </si>
  <si>
    <t>DIME-CV-02--P002</t>
  </si>
  <si>
    <t>DIME-CV-03--P002</t>
  </si>
  <si>
    <t>DIME-CV-04--P002</t>
  </si>
  <si>
    <t>DIME-CV-05--P002</t>
  </si>
  <si>
    <t>DIME-CV-06--P002</t>
  </si>
  <si>
    <t>DIME-CV-07--P002</t>
  </si>
  <si>
    <t>DIME-CV-08--P002</t>
  </si>
  <si>
    <t>DIME-CV-09--P002</t>
  </si>
  <si>
    <t>DIME-CV-10--P002</t>
  </si>
  <si>
    <t>DIME-CV-11--P002</t>
  </si>
  <si>
    <t>DIME-CV-12--P002</t>
  </si>
  <si>
    <t>DIME-CV-13--P002</t>
  </si>
  <si>
    <t>DIME-CV-14--P002</t>
  </si>
  <si>
    <t>DIME-CV-15--P002</t>
  </si>
  <si>
    <t>DIME-CV-16--P002</t>
  </si>
  <si>
    <t>DIME-CV-17--P002</t>
  </si>
  <si>
    <t>DIME-CV-18--P002</t>
  </si>
  <si>
    <t>DIME-CV-19--P002</t>
  </si>
  <si>
    <t>DIME-CV-20--P002</t>
  </si>
  <si>
    <t>DIME-CV-21--P002</t>
  </si>
  <si>
    <t>DIME-CV-22--P002</t>
  </si>
  <si>
    <t>DIME-CV-23--P002</t>
  </si>
  <si>
    <t>DIME-CV-02--I002</t>
  </si>
  <si>
    <t>DIME-CV-24--P002</t>
  </si>
  <si>
    <t>DIME-CV-25--P002</t>
  </si>
  <si>
    <t>DIME-CV-03--I002</t>
  </si>
  <si>
    <t>DIME-CV-26--P002</t>
  </si>
  <si>
    <t>DIME-CV-27--P002</t>
  </si>
  <si>
    <t>DIME-CV-28--P002</t>
  </si>
  <si>
    <t>DIME-CV-29--P002</t>
  </si>
  <si>
    <t>DIME-CV-30--P002</t>
  </si>
  <si>
    <t>DIME-CV-31--P002</t>
  </si>
  <si>
    <t>DIME-CV-32--P002</t>
  </si>
  <si>
    <t>DIME-CV-33--P002</t>
  </si>
  <si>
    <t>DIME-CV-04--I002</t>
  </si>
  <si>
    <t>DIME-CV-05--I002</t>
  </si>
  <si>
    <t>DIME-CV-34--P002</t>
  </si>
  <si>
    <t>DIME-CV-35--P002</t>
  </si>
  <si>
    <t>DIME-CV-36--P002</t>
  </si>
  <si>
    <t>DIME-CV-06--I002</t>
  </si>
  <si>
    <t>DIME-CV-37--P002</t>
  </si>
  <si>
    <t>DIME-CV-07--I002</t>
  </si>
  <si>
    <t>DIME-CV-38--P002</t>
  </si>
  <si>
    <t>DIME-CV-39--P002</t>
  </si>
  <si>
    <t>DIME-CV-40--P002</t>
  </si>
  <si>
    <t>DIME-CV-41--P002</t>
  </si>
  <si>
    <t>DIME-CV-42--P002</t>
  </si>
  <si>
    <t>DIME-CV-43--P002</t>
  </si>
  <si>
    <t>DIME-CV-44--P002</t>
  </si>
  <si>
    <t>DIME-CV-45--P002</t>
  </si>
  <si>
    <t>DIME-CV-46--P002</t>
  </si>
  <si>
    <t>DIME-CV-47--P002</t>
  </si>
  <si>
    <t>DIME-CV-48--P002</t>
  </si>
  <si>
    <t>DIME-CV-49--P002</t>
  </si>
  <si>
    <t>DIME-CV-08--I002</t>
  </si>
  <si>
    <t>DIME-CV-09--I002</t>
  </si>
  <si>
    <t>DIME-CV-50--P002</t>
  </si>
  <si>
    <t>DIME-CV-51--P002</t>
  </si>
  <si>
    <t>DIME-CV-52--P002</t>
  </si>
  <si>
    <t>DIME-CV-53--P002</t>
  </si>
  <si>
    <t>DIME-CV-54--P002</t>
  </si>
  <si>
    <t>DIME-CV-55--P002</t>
  </si>
  <si>
    <t>DIME-CV-56--P002</t>
  </si>
  <si>
    <t>DIME-CV-57--P002</t>
  </si>
  <si>
    <t>DIME-CV-58--P002</t>
  </si>
  <si>
    <t xml:space="preserve"> "it's gone." </t>
    <phoneticPr fontId="18" type="noConversion"/>
  </si>
  <si>
    <t>SpeechID</t>
  </si>
  <si>
    <t>Good</t>
  </si>
  <si>
    <t>Check_textoutput</t>
  </si>
  <si>
    <t>FoMax</t>
  </si>
  <si>
    <t>FoMin</t>
  </si>
  <si>
    <t>FoAvg</t>
  </si>
  <si>
    <t>FoStdev</t>
  </si>
  <si>
    <t>FoMaxST</t>
  </si>
  <si>
    <t>FoMinST</t>
  </si>
  <si>
    <t>FoAvgST</t>
  </si>
  <si>
    <t>FoStdevST</t>
  </si>
  <si>
    <t>PitSlope</t>
  </si>
  <si>
    <t>absslope</t>
  </si>
  <si>
    <t>AvgInt</t>
  </si>
  <si>
    <t>Min Int</t>
  </si>
  <si>
    <t>Min Int Time</t>
  </si>
  <si>
    <t>Max Int</t>
  </si>
  <si>
    <t>Max Int time</t>
  </si>
  <si>
    <t>SpeechRate</t>
  </si>
  <si>
    <t>SpeechTime</t>
  </si>
  <si>
    <t>PitchMeanNST</t>
  </si>
  <si>
    <t>pitchNStdev</t>
  </si>
  <si>
    <t>PitchRangeNST</t>
  </si>
  <si>
    <t>Gliss</t>
  </si>
  <si>
    <t>Rises</t>
  </si>
  <si>
    <t>Falls</t>
  </si>
  <si>
    <t>TrajIntra</t>
  </si>
  <si>
    <t>TrajInter</t>
  </si>
  <si>
    <t>uh uh uh uh</t>
  </si>
  <si>
    <t>mmm</t>
  </si>
  <si>
    <t>where is..where is [Childname]?</t>
  </si>
  <si>
    <t>wheris duck?</t>
  </si>
  <si>
    <t>DIME002_CV_I-1</t>
    <phoneticPr fontId="18" type="noConversion"/>
  </si>
  <si>
    <t>DIME002_CV_I-2</t>
    <phoneticPr fontId="18" type="noConversion"/>
  </si>
  <si>
    <t>DIME002_CV_I-3</t>
    <phoneticPr fontId="18" type="noConversion"/>
  </si>
  <si>
    <t>DIME002_CV_I-4</t>
    <phoneticPr fontId="18" type="noConversion"/>
  </si>
  <si>
    <t>oh.</t>
  </si>
  <si>
    <t>it’s gone.</t>
  </si>
  <si>
    <t>play peekaboo.</t>
  </si>
  <si>
    <t>alright this is us.</t>
  </si>
  <si>
    <t>we are going to go..</t>
  </si>
  <si>
    <t>where is mama?</t>
  </si>
  <si>
    <t>boo.</t>
  </si>
  <si>
    <t>where is..</t>
  </si>
  <si>
    <t>you want to look in behind here.</t>
  </si>
  <si>
    <t>well, where is mama?</t>
  </si>
  <si>
    <t>boo!</t>
  </si>
  <si>
    <t>*laugh*</t>
  </si>
  <si>
    <t>er er er.</t>
  </si>
  <si>
    <t>where is [childname]?</t>
  </si>
  <si>
    <t>he..</t>
  </si>
  <si>
    <t>oh, where is [childname].</t>
  </si>
  <si>
    <t>there she is.</t>
  </si>
  <si>
    <t>oh, i’ve got the duck.</t>
  </si>
  <si>
    <t>sorry darling.</t>
  </si>
  <si>
    <t>here are the ducks.</t>
  </si>
  <si>
    <t>DIME002_CV_P-1</t>
    <phoneticPr fontId="18" type="noConversion"/>
  </si>
  <si>
    <t>DIME002_CV_P-2</t>
  </si>
  <si>
    <t>DIME002_CV_P-3</t>
  </si>
  <si>
    <t>DIME002_CV_P-4</t>
  </si>
  <si>
    <t>DIME002_CV_P-5</t>
  </si>
  <si>
    <t>DIME002_CV_P-6</t>
  </si>
  <si>
    <t>DIME002_CV_P-7</t>
  </si>
  <si>
    <t>DIME002_CV_P-8</t>
  </si>
  <si>
    <t>DIME002_CV_P-9</t>
  </si>
  <si>
    <t>DIME002_CV_P-10</t>
  </si>
  <si>
    <t>DIME002_CV_P-11</t>
  </si>
  <si>
    <t>DIME002_CV_P-12</t>
  </si>
  <si>
    <t>DIME002_CV_P-13</t>
  </si>
  <si>
    <t>DIME002_CV_P-14</t>
  </si>
  <si>
    <t>DIME002_CV_P-15</t>
  </si>
  <si>
    <t>DIME002_CV_P-16</t>
  </si>
  <si>
    <t>DIME002_CV_P-17</t>
  </si>
  <si>
    <t>DIME002_CV_P-18</t>
  </si>
  <si>
    <t>DIME002_CV_P-19</t>
  </si>
  <si>
    <t>DIME002_CV_P-20</t>
  </si>
  <si>
    <t>DIME002_CV_P-21</t>
  </si>
  <si>
    <t>DIME002_CV_P-22</t>
  </si>
  <si>
    <t>DIME002_CV_P-23</t>
  </si>
  <si>
    <t>DIME002_CV_P-24</t>
  </si>
  <si>
    <t>DIME002_CV_P-25</t>
  </si>
  <si>
    <t>DIME002_CV_P-26</t>
  </si>
  <si>
    <t>DIME002_CV_P-27</t>
  </si>
  <si>
    <t>DIME002_CV_P-28</t>
  </si>
  <si>
    <t>DIME002_CV_P-29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</si>
</sst>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1"/>
      <color rgb="FF006100"/>
      <name val="新細明體"/>
      <family val="2"/>
      <charset val="136"/>
      <scheme val="minor"/>
    </font>
    <font>
      <sz val="11"/>
      <color rgb="FF9C0006"/>
      <name val="新細明體"/>
      <family val="2"/>
      <charset val="136"/>
      <scheme val="minor"/>
    </font>
    <font>
      <sz val="11"/>
      <color rgb="FF9C5700"/>
      <name val="新細明體"/>
      <family val="2"/>
      <charset val="136"/>
      <scheme val="minor"/>
    </font>
    <font>
      <sz val="11"/>
      <color rgb="FF3F3F76"/>
      <name val="新細明體"/>
      <family val="2"/>
      <charset val="136"/>
      <scheme val="minor"/>
    </font>
    <font>
      <b/>
      <sz val="11"/>
      <color rgb="FF3F3F3F"/>
      <name val="新細明體"/>
      <family val="2"/>
      <charset val="136"/>
      <scheme val="minor"/>
    </font>
    <font>
      <b/>
      <sz val="11"/>
      <color rgb="FFFA7D00"/>
      <name val="新細明體"/>
      <family val="2"/>
      <charset val="136"/>
      <scheme val="minor"/>
    </font>
    <font>
      <sz val="11"/>
      <color rgb="FFFA7D00"/>
      <name val="新細明體"/>
      <family val="2"/>
      <charset val="136"/>
      <scheme val="minor"/>
    </font>
    <font>
      <b/>
      <sz val="11"/>
      <color theme="0"/>
      <name val="新細明體"/>
      <family val="2"/>
      <charset val="136"/>
      <scheme val="minor"/>
    </font>
    <font>
      <sz val="11"/>
      <color rgb="FFFF0000"/>
      <name val="新細明體"/>
      <family val="2"/>
      <charset val="136"/>
      <scheme val="minor"/>
    </font>
    <font>
      <i/>
      <sz val="11"/>
      <color rgb="FF7F7F7F"/>
      <name val="新細明體"/>
      <family val="2"/>
      <charset val="136"/>
      <scheme val="minor"/>
    </font>
    <font>
      <b/>
      <sz val="11"/>
      <color theme="1"/>
      <name val="新細明體"/>
      <family val="2"/>
      <charset val="136"/>
      <scheme val="minor"/>
    </font>
    <font>
      <sz val="11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80"/>
  <sheetViews>
    <sheetView workbookViewId="0">
      <selection sqref="A1:B1048576"/>
    </sheetView>
  </sheetViews>
  <sheetFormatPr defaultRowHeight="15" x14ac:dyDescent="0.3"/>
  <sheetData>
    <row r="1" spans="1:2" x14ac:dyDescent="0.3">
      <c r="A1" t="s">
        <v>62</v>
      </c>
      <c r="B1" t="s">
        <v>63</v>
      </c>
    </row>
    <row r="2" spans="1:2" x14ac:dyDescent="0.3">
      <c r="A2" t="s">
        <v>64</v>
      </c>
      <c r="B2" t="s">
        <v>65</v>
      </c>
    </row>
    <row r="4" spans="1:2" x14ac:dyDescent="0.3">
      <c r="A4" t="s">
        <v>66</v>
      </c>
      <c r="B4">
        <v>0</v>
      </c>
    </row>
    <row r="5" spans="1:2" x14ac:dyDescent="0.3">
      <c r="A5" t="s">
        <v>67</v>
      </c>
      <c r="B5">
        <v>44.768072562358199</v>
      </c>
    </row>
    <row r="6" spans="1:2" x14ac:dyDescent="0.3">
      <c r="A6" t="s">
        <v>0</v>
      </c>
    </row>
    <row r="7" spans="1:2" x14ac:dyDescent="0.3">
      <c r="A7" t="s">
        <v>68</v>
      </c>
      <c r="B7">
        <v>3</v>
      </c>
    </row>
    <row r="8" spans="1:2" x14ac:dyDescent="0.3">
      <c r="A8" t="s">
        <v>1</v>
      </c>
    </row>
    <row r="9" spans="1:2" x14ac:dyDescent="0.3">
      <c r="A9" t="s">
        <v>2</v>
      </c>
    </row>
    <row r="10" spans="1:2" x14ac:dyDescent="0.3">
      <c r="A10" t="s">
        <v>69</v>
      </c>
      <c r="B10" t="s">
        <v>70</v>
      </c>
    </row>
    <row r="11" spans="1:2" x14ac:dyDescent="0.3">
      <c r="A11" t="s">
        <v>71</v>
      </c>
      <c r="B11" t="s">
        <v>72</v>
      </c>
    </row>
    <row r="12" spans="1:2" x14ac:dyDescent="0.3">
      <c r="A12" t="s">
        <v>73</v>
      </c>
      <c r="B12">
        <v>0</v>
      </c>
    </row>
    <row r="13" spans="1:2" x14ac:dyDescent="0.3">
      <c r="A13" t="s">
        <v>74</v>
      </c>
      <c r="B13">
        <v>44.768072562358199</v>
      </c>
    </row>
    <row r="14" spans="1:2" x14ac:dyDescent="0.3">
      <c r="A14" t="s">
        <v>75</v>
      </c>
      <c r="B14">
        <v>58</v>
      </c>
    </row>
    <row r="15" spans="1:2" x14ac:dyDescent="0.3">
      <c r="A15" t="s">
        <v>3</v>
      </c>
    </row>
    <row r="16" spans="1:2" x14ac:dyDescent="0.3">
      <c r="A16" t="s">
        <v>76</v>
      </c>
      <c r="B16">
        <v>0</v>
      </c>
    </row>
    <row r="17" spans="1:2" x14ac:dyDescent="0.3">
      <c r="A17" t="s">
        <v>77</v>
      </c>
      <c r="B17">
        <v>0.351597086588541</v>
      </c>
    </row>
    <row r="18" spans="1:2" x14ac:dyDescent="0.3">
      <c r="A18" t="s">
        <v>78</v>
      </c>
      <c r="B18" t="s">
        <v>79</v>
      </c>
    </row>
    <row r="19" spans="1:2" x14ac:dyDescent="0.3">
      <c r="A19" t="s">
        <v>4</v>
      </c>
    </row>
    <row r="20" spans="1:2" x14ac:dyDescent="0.3">
      <c r="A20" t="s">
        <v>76</v>
      </c>
      <c r="B20">
        <v>0.351597086588541</v>
      </c>
    </row>
    <row r="21" spans="1:2" x14ac:dyDescent="0.3">
      <c r="A21" t="s">
        <v>77</v>
      </c>
      <c r="B21">
        <v>0.52710706922743</v>
      </c>
    </row>
    <row r="22" spans="1:2" x14ac:dyDescent="0.3">
      <c r="A22" t="s">
        <v>78</v>
      </c>
      <c r="B22" t="s">
        <v>80</v>
      </c>
    </row>
    <row r="23" spans="1:2" x14ac:dyDescent="0.3">
      <c r="A23" t="s">
        <v>5</v>
      </c>
    </row>
    <row r="24" spans="1:2" x14ac:dyDescent="0.3">
      <c r="A24" t="s">
        <v>76</v>
      </c>
      <c r="B24">
        <v>0.52710706922743</v>
      </c>
    </row>
    <row r="25" spans="1:2" x14ac:dyDescent="0.3">
      <c r="A25" t="s">
        <v>77</v>
      </c>
      <c r="B25">
        <v>1.7665491224718799</v>
      </c>
    </row>
    <row r="26" spans="1:2" x14ac:dyDescent="0.3">
      <c r="A26" t="s">
        <v>78</v>
      </c>
      <c r="B26" t="s">
        <v>79</v>
      </c>
    </row>
    <row r="27" spans="1:2" x14ac:dyDescent="0.3">
      <c r="A27" t="s">
        <v>6</v>
      </c>
    </row>
    <row r="28" spans="1:2" x14ac:dyDescent="0.3">
      <c r="A28" t="s">
        <v>76</v>
      </c>
      <c r="B28">
        <v>1.7665491224718799</v>
      </c>
    </row>
    <row r="29" spans="1:2" x14ac:dyDescent="0.3">
      <c r="A29" t="s">
        <v>77</v>
      </c>
      <c r="B29">
        <v>2.1544261841038299</v>
      </c>
    </row>
    <row r="30" spans="1:2" x14ac:dyDescent="0.3">
      <c r="A30" t="s">
        <v>78</v>
      </c>
      <c r="B30" t="s">
        <v>81</v>
      </c>
    </row>
    <row r="31" spans="1:2" x14ac:dyDescent="0.3">
      <c r="A31" t="s">
        <v>7</v>
      </c>
    </row>
    <row r="32" spans="1:2" x14ac:dyDescent="0.3">
      <c r="A32" t="s">
        <v>76</v>
      </c>
      <c r="B32">
        <v>2.1544261841038299</v>
      </c>
    </row>
    <row r="33" spans="1:2" x14ac:dyDescent="0.3">
      <c r="A33" t="s">
        <v>77</v>
      </c>
      <c r="B33">
        <v>2.63033498768137</v>
      </c>
    </row>
    <row r="34" spans="1:2" x14ac:dyDescent="0.3">
      <c r="A34" t="s">
        <v>78</v>
      </c>
      <c r="B34" t="s">
        <v>79</v>
      </c>
    </row>
    <row r="35" spans="1:2" x14ac:dyDescent="0.3">
      <c r="A35" t="s">
        <v>8</v>
      </c>
    </row>
    <row r="36" spans="1:2" x14ac:dyDescent="0.3">
      <c r="A36" t="s">
        <v>76</v>
      </c>
      <c r="B36">
        <v>2.63033498768137</v>
      </c>
    </row>
    <row r="37" spans="1:2" x14ac:dyDescent="0.3">
      <c r="A37" t="s">
        <v>77</v>
      </c>
      <c r="B37">
        <v>3.2727015241397002</v>
      </c>
    </row>
    <row r="38" spans="1:2" x14ac:dyDescent="0.3">
      <c r="A38" t="s">
        <v>78</v>
      </c>
      <c r="B38" t="s">
        <v>82</v>
      </c>
    </row>
    <row r="39" spans="1:2" x14ac:dyDescent="0.3">
      <c r="A39" t="s">
        <v>9</v>
      </c>
    </row>
    <row r="40" spans="1:2" x14ac:dyDescent="0.3">
      <c r="A40" t="s">
        <v>76</v>
      </c>
      <c r="B40">
        <v>3.2727015241397002</v>
      </c>
    </row>
    <row r="41" spans="1:2" x14ac:dyDescent="0.3">
      <c r="A41" t="s">
        <v>77</v>
      </c>
      <c r="B41">
        <v>4.11804940260477</v>
      </c>
    </row>
    <row r="42" spans="1:2" x14ac:dyDescent="0.3">
      <c r="A42" t="s">
        <v>78</v>
      </c>
      <c r="B42" t="s">
        <v>79</v>
      </c>
    </row>
    <row r="43" spans="1:2" x14ac:dyDescent="0.3">
      <c r="A43" t="s">
        <v>10</v>
      </c>
    </row>
    <row r="44" spans="1:2" x14ac:dyDescent="0.3">
      <c r="A44" t="s">
        <v>76</v>
      </c>
      <c r="B44">
        <v>4.11804940260477</v>
      </c>
    </row>
    <row r="45" spans="1:2" x14ac:dyDescent="0.3">
      <c r="A45" t="s">
        <v>77</v>
      </c>
      <c r="B45">
        <v>4.9168874754745202</v>
      </c>
    </row>
    <row r="46" spans="1:2" x14ac:dyDescent="0.3">
      <c r="A46" t="s">
        <v>78</v>
      </c>
      <c r="B46" t="s">
        <v>83</v>
      </c>
    </row>
    <row r="47" spans="1:2" x14ac:dyDescent="0.3">
      <c r="A47" t="s">
        <v>11</v>
      </c>
    </row>
    <row r="48" spans="1:2" x14ac:dyDescent="0.3">
      <c r="A48" t="s">
        <v>76</v>
      </c>
      <c r="B48">
        <v>4.9168874754745202</v>
      </c>
    </row>
    <row r="49" spans="1:2" x14ac:dyDescent="0.3">
      <c r="A49" t="s">
        <v>77</v>
      </c>
      <c r="B49">
        <v>4.9366323485213899</v>
      </c>
    </row>
    <row r="50" spans="1:2" x14ac:dyDescent="0.3">
      <c r="A50" t="s">
        <v>78</v>
      </c>
      <c r="B50" t="s">
        <v>79</v>
      </c>
    </row>
    <row r="51" spans="1:2" x14ac:dyDescent="0.3">
      <c r="A51" t="s">
        <v>12</v>
      </c>
    </row>
    <row r="52" spans="1:2" x14ac:dyDescent="0.3">
      <c r="A52" t="s">
        <v>76</v>
      </c>
      <c r="B52">
        <v>4.9366323485213899</v>
      </c>
    </row>
    <row r="53" spans="1:2" x14ac:dyDescent="0.3">
      <c r="A53" t="s">
        <v>77</v>
      </c>
      <c r="B53">
        <v>5.9493293344023401</v>
      </c>
    </row>
    <row r="54" spans="1:2" x14ac:dyDescent="0.3">
      <c r="A54" t="s">
        <v>78</v>
      </c>
      <c r="B54" t="s">
        <v>84</v>
      </c>
    </row>
    <row r="55" spans="1:2" x14ac:dyDescent="0.3">
      <c r="A55" t="s">
        <v>13</v>
      </c>
    </row>
    <row r="56" spans="1:2" x14ac:dyDescent="0.3">
      <c r="A56" t="s">
        <v>76</v>
      </c>
      <c r="B56">
        <v>5.9493293344023401</v>
      </c>
    </row>
    <row r="57" spans="1:2" x14ac:dyDescent="0.3">
      <c r="A57" t="s">
        <v>77</v>
      </c>
      <c r="B57">
        <v>6.7667339975331302</v>
      </c>
    </row>
    <row r="58" spans="1:2" x14ac:dyDescent="0.3">
      <c r="A58" t="s">
        <v>78</v>
      </c>
      <c r="B58" t="s">
        <v>79</v>
      </c>
    </row>
    <row r="59" spans="1:2" x14ac:dyDescent="0.3">
      <c r="A59" t="s">
        <v>14</v>
      </c>
    </row>
    <row r="60" spans="1:2" x14ac:dyDescent="0.3">
      <c r="A60" t="s">
        <v>76</v>
      </c>
      <c r="B60">
        <v>6.7667339975331302</v>
      </c>
    </row>
    <row r="61" spans="1:2" x14ac:dyDescent="0.3">
      <c r="A61" t="s">
        <v>77</v>
      </c>
      <c r="B61">
        <v>8.9492006316477095</v>
      </c>
    </row>
    <row r="62" spans="1:2" x14ac:dyDescent="0.3">
      <c r="A62" t="s">
        <v>78</v>
      </c>
      <c r="B62" t="s">
        <v>85</v>
      </c>
    </row>
    <row r="63" spans="1:2" x14ac:dyDescent="0.3">
      <c r="A63" t="s">
        <v>15</v>
      </c>
    </row>
    <row r="64" spans="1:2" x14ac:dyDescent="0.3">
      <c r="A64" t="s">
        <v>76</v>
      </c>
      <c r="B64">
        <v>8.9492006316477095</v>
      </c>
    </row>
    <row r="65" spans="1:2" x14ac:dyDescent="0.3">
      <c r="A65" t="s">
        <v>77</v>
      </c>
      <c r="B65">
        <v>10.338019214523399</v>
      </c>
    </row>
    <row r="66" spans="1:2" x14ac:dyDescent="0.3">
      <c r="A66" t="s">
        <v>78</v>
      </c>
      <c r="B66" t="s">
        <v>79</v>
      </c>
    </row>
    <row r="67" spans="1:2" x14ac:dyDescent="0.3">
      <c r="A67" t="s">
        <v>16</v>
      </c>
    </row>
    <row r="68" spans="1:2" x14ac:dyDescent="0.3">
      <c r="A68" t="s">
        <v>76</v>
      </c>
      <c r="B68">
        <v>10.338019214523399</v>
      </c>
    </row>
    <row r="69" spans="1:2" x14ac:dyDescent="0.3">
      <c r="A69" t="s">
        <v>77</v>
      </c>
      <c r="B69">
        <v>10.6047943881346</v>
      </c>
    </row>
    <row r="70" spans="1:2" x14ac:dyDescent="0.3">
      <c r="A70" t="s">
        <v>78</v>
      </c>
      <c r="B70" t="s">
        <v>86</v>
      </c>
    </row>
    <row r="71" spans="1:2" x14ac:dyDescent="0.3">
      <c r="A71" t="s">
        <v>17</v>
      </c>
    </row>
    <row r="72" spans="1:2" x14ac:dyDescent="0.3">
      <c r="A72" t="s">
        <v>76</v>
      </c>
      <c r="B72">
        <v>10.6047943881346</v>
      </c>
    </row>
    <row r="73" spans="1:2" x14ac:dyDescent="0.3">
      <c r="A73" t="s">
        <v>77</v>
      </c>
      <c r="B73">
        <v>13.2459129363309</v>
      </c>
    </row>
    <row r="74" spans="1:2" x14ac:dyDescent="0.3">
      <c r="A74" t="s">
        <v>78</v>
      </c>
      <c r="B74" t="s">
        <v>79</v>
      </c>
    </row>
    <row r="75" spans="1:2" x14ac:dyDescent="0.3">
      <c r="A75" t="s">
        <v>18</v>
      </c>
    </row>
    <row r="76" spans="1:2" x14ac:dyDescent="0.3">
      <c r="A76" t="s">
        <v>76</v>
      </c>
      <c r="B76">
        <v>13.2459129363309</v>
      </c>
    </row>
    <row r="77" spans="1:2" x14ac:dyDescent="0.3">
      <c r="A77" t="s">
        <v>77</v>
      </c>
      <c r="B77">
        <v>14.4431409981445</v>
      </c>
    </row>
    <row r="78" spans="1:2" x14ac:dyDescent="0.3">
      <c r="A78" t="s">
        <v>78</v>
      </c>
      <c r="B78" t="s">
        <v>87</v>
      </c>
    </row>
    <row r="79" spans="1:2" x14ac:dyDescent="0.3">
      <c r="A79" t="s">
        <v>19</v>
      </c>
    </row>
    <row r="80" spans="1:2" x14ac:dyDescent="0.3">
      <c r="A80" t="s">
        <v>76</v>
      </c>
      <c r="B80">
        <v>14.4431409981445</v>
      </c>
    </row>
    <row r="81" spans="1:2" x14ac:dyDescent="0.3">
      <c r="A81" t="s">
        <v>77</v>
      </c>
      <c r="B81">
        <v>14.493077017185501</v>
      </c>
    </row>
    <row r="82" spans="1:2" x14ac:dyDescent="0.3">
      <c r="A82" t="s">
        <v>78</v>
      </c>
      <c r="B82" t="s">
        <v>79</v>
      </c>
    </row>
    <row r="83" spans="1:2" x14ac:dyDescent="0.3">
      <c r="A83" t="s">
        <v>20</v>
      </c>
    </row>
    <row r="84" spans="1:2" x14ac:dyDescent="0.3">
      <c r="A84" t="s">
        <v>76</v>
      </c>
      <c r="B84">
        <v>14.493077017185501</v>
      </c>
    </row>
    <row r="85" spans="1:2" x14ac:dyDescent="0.3">
      <c r="A85" t="s">
        <v>77</v>
      </c>
      <c r="B85">
        <v>15.4455608593543</v>
      </c>
    </row>
    <row r="86" spans="1:2" x14ac:dyDescent="0.3">
      <c r="A86" t="s">
        <v>78</v>
      </c>
      <c r="B86" t="s">
        <v>88</v>
      </c>
    </row>
    <row r="87" spans="1:2" x14ac:dyDescent="0.3">
      <c r="A87" t="s">
        <v>21</v>
      </c>
    </row>
    <row r="88" spans="1:2" x14ac:dyDescent="0.3">
      <c r="A88" t="s">
        <v>76</v>
      </c>
      <c r="B88">
        <v>15.4455608593543</v>
      </c>
    </row>
    <row r="89" spans="1:2" x14ac:dyDescent="0.3">
      <c r="A89" t="s">
        <v>77</v>
      </c>
      <c r="B89">
        <v>15.4771526562293</v>
      </c>
    </row>
    <row r="90" spans="1:2" x14ac:dyDescent="0.3">
      <c r="A90" t="s">
        <v>78</v>
      </c>
      <c r="B90" t="s">
        <v>79</v>
      </c>
    </row>
    <row r="91" spans="1:2" x14ac:dyDescent="0.3">
      <c r="A91" t="s">
        <v>22</v>
      </c>
    </row>
    <row r="92" spans="1:2" x14ac:dyDescent="0.3">
      <c r="A92" t="s">
        <v>76</v>
      </c>
      <c r="B92">
        <v>15.4771526562293</v>
      </c>
    </row>
    <row r="93" spans="1:2" x14ac:dyDescent="0.3">
      <c r="A93" t="s">
        <v>77</v>
      </c>
      <c r="B93">
        <v>16.680204828690901</v>
      </c>
    </row>
    <row r="94" spans="1:2" x14ac:dyDescent="0.3">
      <c r="A94" t="s">
        <v>78</v>
      </c>
      <c r="B94" t="s">
        <v>89</v>
      </c>
    </row>
    <row r="95" spans="1:2" x14ac:dyDescent="0.3">
      <c r="A95" t="s">
        <v>23</v>
      </c>
    </row>
    <row r="96" spans="1:2" x14ac:dyDescent="0.3">
      <c r="A96" t="s">
        <v>76</v>
      </c>
      <c r="B96">
        <v>16.680204828690901</v>
      </c>
    </row>
    <row r="97" spans="1:2" x14ac:dyDescent="0.3">
      <c r="A97" t="s">
        <v>77</v>
      </c>
      <c r="B97">
        <v>17.3726604687293</v>
      </c>
    </row>
    <row r="98" spans="1:2" x14ac:dyDescent="0.3">
      <c r="A98" t="s">
        <v>78</v>
      </c>
      <c r="B98" t="s">
        <v>79</v>
      </c>
    </row>
    <row r="99" spans="1:2" x14ac:dyDescent="0.3">
      <c r="A99" t="s">
        <v>24</v>
      </c>
    </row>
    <row r="100" spans="1:2" x14ac:dyDescent="0.3">
      <c r="A100" t="s">
        <v>76</v>
      </c>
      <c r="B100">
        <v>17.3726604687293</v>
      </c>
    </row>
    <row r="101" spans="1:2" x14ac:dyDescent="0.3">
      <c r="A101" t="s">
        <v>77</v>
      </c>
      <c r="B101">
        <v>17.632402066914199</v>
      </c>
    </row>
    <row r="102" spans="1:2" x14ac:dyDescent="0.3">
      <c r="A102" t="s">
        <v>78</v>
      </c>
      <c r="B102" t="s">
        <v>90</v>
      </c>
    </row>
    <row r="103" spans="1:2" x14ac:dyDescent="0.3">
      <c r="A103" t="s">
        <v>25</v>
      </c>
    </row>
    <row r="104" spans="1:2" x14ac:dyDescent="0.3">
      <c r="A104" t="s">
        <v>76</v>
      </c>
      <c r="B104">
        <v>17.632402066914199</v>
      </c>
    </row>
    <row r="105" spans="1:2" x14ac:dyDescent="0.3">
      <c r="A105" t="s">
        <v>77</v>
      </c>
      <c r="B105">
        <v>18.6035200711455</v>
      </c>
    </row>
    <row r="106" spans="1:2" x14ac:dyDescent="0.3">
      <c r="A106" t="s">
        <v>78</v>
      </c>
      <c r="B106" t="s">
        <v>79</v>
      </c>
    </row>
    <row r="107" spans="1:2" x14ac:dyDescent="0.3">
      <c r="A107" t="s">
        <v>26</v>
      </c>
    </row>
    <row r="108" spans="1:2" x14ac:dyDescent="0.3">
      <c r="A108" t="s">
        <v>76</v>
      </c>
      <c r="B108">
        <v>18.6035200711455</v>
      </c>
    </row>
    <row r="109" spans="1:2" x14ac:dyDescent="0.3">
      <c r="A109" t="s">
        <v>77</v>
      </c>
      <c r="B109">
        <v>19.056335826353799</v>
      </c>
    </row>
    <row r="110" spans="1:2" x14ac:dyDescent="0.3">
      <c r="A110" t="s">
        <v>78</v>
      </c>
      <c r="B110" t="s">
        <v>91</v>
      </c>
    </row>
    <row r="111" spans="1:2" x14ac:dyDescent="0.3">
      <c r="A111" t="s">
        <v>27</v>
      </c>
    </row>
    <row r="112" spans="1:2" x14ac:dyDescent="0.3">
      <c r="A112" t="s">
        <v>76</v>
      </c>
      <c r="B112">
        <v>19.056335826353799</v>
      </c>
    </row>
    <row r="113" spans="1:2" x14ac:dyDescent="0.3">
      <c r="A113" t="s">
        <v>77</v>
      </c>
      <c r="B113">
        <v>20.106439050086198</v>
      </c>
    </row>
    <row r="114" spans="1:2" x14ac:dyDescent="0.3">
      <c r="A114" t="s">
        <v>78</v>
      </c>
      <c r="B114" t="s">
        <v>79</v>
      </c>
    </row>
    <row r="115" spans="1:2" x14ac:dyDescent="0.3">
      <c r="A115" t="s">
        <v>28</v>
      </c>
    </row>
    <row r="116" spans="1:2" x14ac:dyDescent="0.3">
      <c r="A116" t="s">
        <v>76</v>
      </c>
      <c r="B116">
        <v>20.106439050086198</v>
      </c>
    </row>
    <row r="117" spans="1:2" x14ac:dyDescent="0.3">
      <c r="A117" t="s">
        <v>77</v>
      </c>
      <c r="B117">
        <v>20.703172991058398</v>
      </c>
    </row>
    <row r="118" spans="1:2" x14ac:dyDescent="0.3">
      <c r="A118" t="s">
        <v>78</v>
      </c>
      <c r="B118" t="s">
        <v>92</v>
      </c>
    </row>
    <row r="119" spans="1:2" x14ac:dyDescent="0.3">
      <c r="A119" t="s">
        <v>29</v>
      </c>
    </row>
    <row r="120" spans="1:2" x14ac:dyDescent="0.3">
      <c r="A120" t="s">
        <v>76</v>
      </c>
      <c r="B120">
        <v>20.703172991058398</v>
      </c>
    </row>
    <row r="121" spans="1:2" x14ac:dyDescent="0.3">
      <c r="A121" t="s">
        <v>77</v>
      </c>
      <c r="B121">
        <v>20.957163943048599</v>
      </c>
    </row>
    <row r="122" spans="1:2" x14ac:dyDescent="0.3">
      <c r="A122" t="s">
        <v>78</v>
      </c>
      <c r="B122" t="s">
        <v>79</v>
      </c>
    </row>
    <row r="123" spans="1:2" x14ac:dyDescent="0.3">
      <c r="A123" t="s">
        <v>30</v>
      </c>
    </row>
    <row r="124" spans="1:2" x14ac:dyDescent="0.3">
      <c r="A124" t="s">
        <v>76</v>
      </c>
      <c r="B124">
        <v>20.957163943048599</v>
      </c>
    </row>
    <row r="125" spans="1:2" x14ac:dyDescent="0.3">
      <c r="A125" t="s">
        <v>77</v>
      </c>
      <c r="B125">
        <v>22.972498163145101</v>
      </c>
    </row>
    <row r="126" spans="1:2" x14ac:dyDescent="0.3">
      <c r="A126" t="s">
        <v>78</v>
      </c>
      <c r="B126" t="s">
        <v>93</v>
      </c>
    </row>
    <row r="127" spans="1:2" x14ac:dyDescent="0.3">
      <c r="A127" t="s">
        <v>31</v>
      </c>
    </row>
    <row r="128" spans="1:2" x14ac:dyDescent="0.3">
      <c r="A128" t="s">
        <v>76</v>
      </c>
      <c r="B128">
        <v>22.972498163145101</v>
      </c>
    </row>
    <row r="129" spans="1:2" x14ac:dyDescent="0.3">
      <c r="A129" t="s">
        <v>77</v>
      </c>
      <c r="B129">
        <v>24.645010736451901</v>
      </c>
    </row>
    <row r="130" spans="1:2" x14ac:dyDescent="0.3">
      <c r="A130" t="s">
        <v>78</v>
      </c>
      <c r="B130" t="s">
        <v>79</v>
      </c>
    </row>
    <row r="131" spans="1:2" x14ac:dyDescent="0.3">
      <c r="A131" t="s">
        <v>32</v>
      </c>
    </row>
    <row r="132" spans="1:2" x14ac:dyDescent="0.3">
      <c r="A132" t="s">
        <v>76</v>
      </c>
      <c r="B132">
        <v>24.645010736451901</v>
      </c>
    </row>
    <row r="133" spans="1:2" x14ac:dyDescent="0.3">
      <c r="A133" t="s">
        <v>77</v>
      </c>
      <c r="B133">
        <v>25.4009420686887</v>
      </c>
    </row>
    <row r="134" spans="1:2" x14ac:dyDescent="0.3">
      <c r="A134" t="s">
        <v>78</v>
      </c>
      <c r="B134" t="s">
        <v>93</v>
      </c>
    </row>
    <row r="135" spans="1:2" x14ac:dyDescent="0.3">
      <c r="A135" t="s">
        <v>33</v>
      </c>
    </row>
    <row r="136" spans="1:2" x14ac:dyDescent="0.3">
      <c r="A136" t="s">
        <v>76</v>
      </c>
      <c r="B136">
        <v>25.4009420686887</v>
      </c>
    </row>
    <row r="137" spans="1:2" x14ac:dyDescent="0.3">
      <c r="A137" t="s">
        <v>77</v>
      </c>
      <c r="B137">
        <v>25.779821609410501</v>
      </c>
    </row>
    <row r="138" spans="1:2" x14ac:dyDescent="0.3">
      <c r="A138" t="s">
        <v>78</v>
      </c>
      <c r="B138" t="s">
        <v>79</v>
      </c>
    </row>
    <row r="139" spans="1:2" x14ac:dyDescent="0.3">
      <c r="A139" t="s">
        <v>34</v>
      </c>
    </row>
    <row r="140" spans="1:2" x14ac:dyDescent="0.3">
      <c r="A140" t="s">
        <v>76</v>
      </c>
      <c r="B140">
        <v>25.779821609410501</v>
      </c>
    </row>
    <row r="141" spans="1:2" x14ac:dyDescent="0.3">
      <c r="A141" t="s">
        <v>77</v>
      </c>
      <c r="B141">
        <v>26.068733213802599</v>
      </c>
    </row>
    <row r="142" spans="1:2" x14ac:dyDescent="0.3">
      <c r="A142" t="s">
        <v>78</v>
      </c>
      <c r="B142" t="s">
        <v>94</v>
      </c>
    </row>
    <row r="143" spans="1:2" x14ac:dyDescent="0.3">
      <c r="A143" t="s">
        <v>35</v>
      </c>
    </row>
    <row r="144" spans="1:2" x14ac:dyDescent="0.3">
      <c r="A144" t="s">
        <v>76</v>
      </c>
      <c r="B144">
        <v>26.068733213802599</v>
      </c>
    </row>
    <row r="145" spans="1:2" x14ac:dyDescent="0.3">
      <c r="A145" t="s">
        <v>77</v>
      </c>
      <c r="B145">
        <v>27.781773962049702</v>
      </c>
    </row>
    <row r="146" spans="1:2" x14ac:dyDescent="0.3">
      <c r="A146" t="s">
        <v>78</v>
      </c>
      <c r="B146" t="s">
        <v>79</v>
      </c>
    </row>
    <row r="147" spans="1:2" x14ac:dyDescent="0.3">
      <c r="A147" t="s">
        <v>36</v>
      </c>
    </row>
    <row r="148" spans="1:2" x14ac:dyDescent="0.3">
      <c r="A148" t="s">
        <v>76</v>
      </c>
      <c r="B148">
        <v>27.781773962049702</v>
      </c>
    </row>
    <row r="149" spans="1:2" x14ac:dyDescent="0.3">
      <c r="A149" t="s">
        <v>77</v>
      </c>
      <c r="B149">
        <v>28.865141861357699</v>
      </c>
    </row>
    <row r="150" spans="1:2" x14ac:dyDescent="0.3">
      <c r="A150" t="s">
        <v>78</v>
      </c>
      <c r="B150" t="s">
        <v>85</v>
      </c>
    </row>
    <row r="151" spans="1:2" x14ac:dyDescent="0.3">
      <c r="A151" t="s">
        <v>37</v>
      </c>
    </row>
    <row r="152" spans="1:2" x14ac:dyDescent="0.3">
      <c r="A152" t="s">
        <v>76</v>
      </c>
      <c r="B152">
        <v>28.865141861357699</v>
      </c>
    </row>
    <row r="153" spans="1:2" x14ac:dyDescent="0.3">
      <c r="A153" t="s">
        <v>77</v>
      </c>
      <c r="B153">
        <v>30.113867032682101</v>
      </c>
    </row>
    <row r="154" spans="1:2" x14ac:dyDescent="0.3">
      <c r="A154" t="s">
        <v>78</v>
      </c>
      <c r="B154" t="s">
        <v>79</v>
      </c>
    </row>
    <row r="155" spans="1:2" x14ac:dyDescent="0.3">
      <c r="A155" t="s">
        <v>38</v>
      </c>
    </row>
    <row r="156" spans="1:2" x14ac:dyDescent="0.3">
      <c r="A156" t="s">
        <v>76</v>
      </c>
      <c r="B156">
        <v>30.113867032682101</v>
      </c>
    </row>
    <row r="157" spans="1:2" x14ac:dyDescent="0.3">
      <c r="A157" t="s">
        <v>77</v>
      </c>
      <c r="B157">
        <v>30.589993500093801</v>
      </c>
    </row>
    <row r="158" spans="1:2" x14ac:dyDescent="0.3">
      <c r="A158" t="s">
        <v>78</v>
      </c>
      <c r="B158" t="s">
        <v>90</v>
      </c>
    </row>
    <row r="159" spans="1:2" x14ac:dyDescent="0.3">
      <c r="A159" t="s">
        <v>39</v>
      </c>
    </row>
    <row r="160" spans="1:2" x14ac:dyDescent="0.3">
      <c r="A160" t="s">
        <v>76</v>
      </c>
      <c r="B160">
        <v>30.589993500093801</v>
      </c>
    </row>
    <row r="161" spans="1:2" x14ac:dyDescent="0.3">
      <c r="A161" t="s">
        <v>77</v>
      </c>
      <c r="B161">
        <v>32.133935254004697</v>
      </c>
    </row>
    <row r="162" spans="1:2" x14ac:dyDescent="0.3">
      <c r="A162" t="s">
        <v>78</v>
      </c>
      <c r="B162" t="s">
        <v>79</v>
      </c>
    </row>
    <row r="163" spans="1:2" x14ac:dyDescent="0.3">
      <c r="A163" t="s">
        <v>40</v>
      </c>
    </row>
    <row r="164" spans="1:2" x14ac:dyDescent="0.3">
      <c r="A164" t="s">
        <v>76</v>
      </c>
      <c r="B164">
        <v>32.133935254004697</v>
      </c>
    </row>
    <row r="165" spans="1:2" x14ac:dyDescent="0.3">
      <c r="A165" t="s">
        <v>77</v>
      </c>
      <c r="B165">
        <v>33.007511528675799</v>
      </c>
    </row>
    <row r="166" spans="1:2" x14ac:dyDescent="0.3">
      <c r="A166" t="s">
        <v>78</v>
      </c>
      <c r="B166" t="s">
        <v>93</v>
      </c>
    </row>
    <row r="167" spans="1:2" x14ac:dyDescent="0.3">
      <c r="A167" t="s">
        <v>41</v>
      </c>
    </row>
    <row r="168" spans="1:2" x14ac:dyDescent="0.3">
      <c r="A168" t="s">
        <v>76</v>
      </c>
      <c r="B168">
        <v>33.007511528675799</v>
      </c>
    </row>
    <row r="169" spans="1:2" x14ac:dyDescent="0.3">
      <c r="A169" t="s">
        <v>77</v>
      </c>
      <c r="B169">
        <v>34.1952579751066</v>
      </c>
    </row>
    <row r="170" spans="1:2" x14ac:dyDescent="0.3">
      <c r="A170" t="s">
        <v>78</v>
      </c>
      <c r="B170" t="s">
        <v>79</v>
      </c>
    </row>
    <row r="171" spans="1:2" x14ac:dyDescent="0.3">
      <c r="A171" t="s">
        <v>42</v>
      </c>
    </row>
    <row r="172" spans="1:2" x14ac:dyDescent="0.3">
      <c r="A172" t="s">
        <v>76</v>
      </c>
      <c r="B172">
        <v>34.1952579751066</v>
      </c>
    </row>
    <row r="173" spans="1:2" x14ac:dyDescent="0.3">
      <c r="A173" t="s">
        <v>77</v>
      </c>
      <c r="B173">
        <v>35.071337333659301</v>
      </c>
    </row>
    <row r="174" spans="1:2" x14ac:dyDescent="0.3">
      <c r="A174" t="s">
        <v>78</v>
      </c>
      <c r="B174" t="s">
        <v>95</v>
      </c>
    </row>
    <row r="175" spans="1:2" x14ac:dyDescent="0.3">
      <c r="A175" t="s">
        <v>43</v>
      </c>
    </row>
    <row r="176" spans="1:2" x14ac:dyDescent="0.3">
      <c r="A176" t="s">
        <v>76</v>
      </c>
      <c r="B176">
        <v>35.071337333659301</v>
      </c>
    </row>
    <row r="177" spans="1:2" x14ac:dyDescent="0.3">
      <c r="A177" t="s">
        <v>77</v>
      </c>
      <c r="B177">
        <v>35.466534656682299</v>
      </c>
    </row>
    <row r="178" spans="1:2" x14ac:dyDescent="0.3">
      <c r="A178" t="s">
        <v>78</v>
      </c>
      <c r="B178" t="s">
        <v>79</v>
      </c>
    </row>
    <row r="179" spans="1:2" x14ac:dyDescent="0.3">
      <c r="A179" t="s">
        <v>44</v>
      </c>
    </row>
    <row r="180" spans="1:2" x14ac:dyDescent="0.3">
      <c r="A180" t="s">
        <v>76</v>
      </c>
      <c r="B180">
        <v>35.466534656682299</v>
      </c>
    </row>
    <row r="181" spans="1:2" x14ac:dyDescent="0.3">
      <c r="A181" t="s">
        <v>77</v>
      </c>
      <c r="B181">
        <v>35.684167035154502</v>
      </c>
    </row>
    <row r="182" spans="1:2" x14ac:dyDescent="0.3">
      <c r="A182" t="s">
        <v>78</v>
      </c>
      <c r="B182" t="s">
        <v>90</v>
      </c>
    </row>
    <row r="183" spans="1:2" x14ac:dyDescent="0.3">
      <c r="A183" t="s">
        <v>45</v>
      </c>
    </row>
    <row r="184" spans="1:2" x14ac:dyDescent="0.3">
      <c r="A184" t="s">
        <v>76</v>
      </c>
      <c r="B184">
        <v>35.684167035154502</v>
      </c>
    </row>
    <row r="185" spans="1:2" x14ac:dyDescent="0.3">
      <c r="A185" t="s">
        <v>77</v>
      </c>
      <c r="B185">
        <v>35.835105620223999</v>
      </c>
    </row>
    <row r="186" spans="1:2" x14ac:dyDescent="0.3">
      <c r="A186" t="s">
        <v>78</v>
      </c>
      <c r="B186" t="s">
        <v>79</v>
      </c>
    </row>
    <row r="187" spans="1:2" x14ac:dyDescent="0.3">
      <c r="A187" t="s">
        <v>46</v>
      </c>
    </row>
    <row r="188" spans="1:2" x14ac:dyDescent="0.3">
      <c r="A188" t="s">
        <v>76</v>
      </c>
      <c r="B188">
        <v>35.835105620223999</v>
      </c>
    </row>
    <row r="189" spans="1:2" x14ac:dyDescent="0.3">
      <c r="A189" t="s">
        <v>77</v>
      </c>
      <c r="B189">
        <v>36.473961957029502</v>
      </c>
    </row>
    <row r="190" spans="1:2" x14ac:dyDescent="0.3">
      <c r="A190" t="s">
        <v>78</v>
      </c>
      <c r="B190" t="s">
        <v>96</v>
      </c>
    </row>
    <row r="191" spans="1:2" x14ac:dyDescent="0.3">
      <c r="A191" t="s">
        <v>47</v>
      </c>
    </row>
    <row r="192" spans="1:2" x14ac:dyDescent="0.3">
      <c r="A192" t="s">
        <v>76</v>
      </c>
      <c r="B192">
        <v>36.473961957029502</v>
      </c>
    </row>
    <row r="193" spans="1:2" x14ac:dyDescent="0.3">
      <c r="A193" t="s">
        <v>77</v>
      </c>
      <c r="B193">
        <v>36.659919897427798</v>
      </c>
    </row>
    <row r="194" spans="1:2" x14ac:dyDescent="0.3">
      <c r="A194" t="s">
        <v>78</v>
      </c>
      <c r="B194" t="s">
        <v>79</v>
      </c>
    </row>
    <row r="195" spans="1:2" x14ac:dyDescent="0.3">
      <c r="A195" t="s">
        <v>48</v>
      </c>
    </row>
    <row r="196" spans="1:2" x14ac:dyDescent="0.3">
      <c r="A196" t="s">
        <v>76</v>
      </c>
      <c r="B196">
        <v>36.659919897427798</v>
      </c>
    </row>
    <row r="197" spans="1:2" x14ac:dyDescent="0.3">
      <c r="A197" t="s">
        <v>77</v>
      </c>
      <c r="B197">
        <v>37.5334961720989</v>
      </c>
    </row>
    <row r="198" spans="1:2" x14ac:dyDescent="0.3">
      <c r="A198" t="s">
        <v>78</v>
      </c>
      <c r="B198" t="s">
        <v>93</v>
      </c>
    </row>
    <row r="199" spans="1:2" x14ac:dyDescent="0.3">
      <c r="A199" t="s">
        <v>49</v>
      </c>
    </row>
    <row r="200" spans="1:2" x14ac:dyDescent="0.3">
      <c r="A200" t="s">
        <v>76</v>
      </c>
      <c r="B200">
        <v>37.5334961720989</v>
      </c>
    </row>
    <row r="201" spans="1:2" x14ac:dyDescent="0.3">
      <c r="A201" t="s">
        <v>77</v>
      </c>
      <c r="B201">
        <v>37.829516448859302</v>
      </c>
    </row>
    <row r="202" spans="1:2" x14ac:dyDescent="0.3">
      <c r="A202" t="s">
        <v>78</v>
      </c>
      <c r="B202" t="s">
        <v>79</v>
      </c>
    </row>
    <row r="203" spans="1:2" x14ac:dyDescent="0.3">
      <c r="A203" t="s">
        <v>50</v>
      </c>
    </row>
    <row r="204" spans="1:2" x14ac:dyDescent="0.3">
      <c r="A204" t="s">
        <v>76</v>
      </c>
      <c r="B204">
        <v>37.829516448859302</v>
      </c>
    </row>
    <row r="205" spans="1:2" x14ac:dyDescent="0.3">
      <c r="A205" t="s">
        <v>77</v>
      </c>
      <c r="B205">
        <v>38.699982064442402</v>
      </c>
    </row>
    <row r="206" spans="1:2" x14ac:dyDescent="0.3">
      <c r="A206" t="s">
        <v>78</v>
      </c>
      <c r="B206" t="s">
        <v>96</v>
      </c>
    </row>
    <row r="207" spans="1:2" x14ac:dyDescent="0.3">
      <c r="A207" t="s">
        <v>51</v>
      </c>
    </row>
    <row r="208" spans="1:2" x14ac:dyDescent="0.3">
      <c r="A208" t="s">
        <v>76</v>
      </c>
      <c r="B208">
        <v>38.699982064442402</v>
      </c>
    </row>
    <row r="209" spans="1:2" x14ac:dyDescent="0.3">
      <c r="A209" t="s">
        <v>77</v>
      </c>
      <c r="B209">
        <v>40.701626157853497</v>
      </c>
    </row>
    <row r="210" spans="1:2" x14ac:dyDescent="0.3">
      <c r="A210" t="s">
        <v>78</v>
      </c>
      <c r="B210" t="s">
        <v>79</v>
      </c>
    </row>
    <row r="211" spans="1:2" x14ac:dyDescent="0.3">
      <c r="A211" t="s">
        <v>52</v>
      </c>
    </row>
    <row r="212" spans="1:2" x14ac:dyDescent="0.3">
      <c r="A212" t="s">
        <v>76</v>
      </c>
      <c r="B212">
        <v>40.701626157853497</v>
      </c>
    </row>
    <row r="213" spans="1:2" x14ac:dyDescent="0.3">
      <c r="A213" t="s">
        <v>77</v>
      </c>
      <c r="B213">
        <v>41.544074074520204</v>
      </c>
    </row>
    <row r="214" spans="1:2" x14ac:dyDescent="0.3">
      <c r="A214" t="s">
        <v>78</v>
      </c>
      <c r="B214" t="s">
        <v>97</v>
      </c>
    </row>
    <row r="215" spans="1:2" x14ac:dyDescent="0.3">
      <c r="A215" t="s">
        <v>53</v>
      </c>
    </row>
    <row r="216" spans="1:2" x14ac:dyDescent="0.3">
      <c r="A216" t="s">
        <v>76</v>
      </c>
      <c r="B216">
        <v>41.544074074520204</v>
      </c>
    </row>
    <row r="217" spans="1:2" x14ac:dyDescent="0.3">
      <c r="A217" t="s">
        <v>77</v>
      </c>
      <c r="B217">
        <v>41.6239442425112</v>
      </c>
    </row>
    <row r="218" spans="1:2" x14ac:dyDescent="0.3">
      <c r="A218" t="s">
        <v>78</v>
      </c>
      <c r="B218" t="s">
        <v>79</v>
      </c>
    </row>
    <row r="219" spans="1:2" x14ac:dyDescent="0.3">
      <c r="A219" t="s">
        <v>54</v>
      </c>
    </row>
    <row r="220" spans="1:2" x14ac:dyDescent="0.3">
      <c r="A220" t="s">
        <v>76</v>
      </c>
      <c r="B220">
        <v>41.6239442425112</v>
      </c>
    </row>
    <row r="221" spans="1:2" x14ac:dyDescent="0.3">
      <c r="A221" t="s">
        <v>77</v>
      </c>
      <c r="B221">
        <v>42.246114005075697</v>
      </c>
    </row>
    <row r="222" spans="1:2" x14ac:dyDescent="0.3">
      <c r="A222" t="s">
        <v>78</v>
      </c>
      <c r="B222" t="s">
        <v>98</v>
      </c>
    </row>
    <row r="223" spans="1:2" x14ac:dyDescent="0.3">
      <c r="A223" t="s">
        <v>55</v>
      </c>
    </row>
    <row r="224" spans="1:2" x14ac:dyDescent="0.3">
      <c r="A224" t="s">
        <v>76</v>
      </c>
      <c r="B224">
        <v>42.246114005075697</v>
      </c>
    </row>
    <row r="225" spans="1:2" x14ac:dyDescent="0.3">
      <c r="A225" t="s">
        <v>77</v>
      </c>
      <c r="B225">
        <v>42.311925152926101</v>
      </c>
    </row>
    <row r="226" spans="1:2" x14ac:dyDescent="0.3">
      <c r="A226" t="s">
        <v>78</v>
      </c>
      <c r="B226" t="s">
        <v>79</v>
      </c>
    </row>
    <row r="227" spans="1:2" x14ac:dyDescent="0.3">
      <c r="A227" t="s">
        <v>56</v>
      </c>
    </row>
    <row r="228" spans="1:2" x14ac:dyDescent="0.3">
      <c r="A228" t="s">
        <v>76</v>
      </c>
      <c r="B228">
        <v>42.311925152926101</v>
      </c>
    </row>
    <row r="229" spans="1:2" x14ac:dyDescent="0.3">
      <c r="A229" t="s">
        <v>77</v>
      </c>
      <c r="B229">
        <v>42.7097371230183</v>
      </c>
    </row>
    <row r="230" spans="1:2" x14ac:dyDescent="0.3">
      <c r="A230" t="s">
        <v>78</v>
      </c>
      <c r="B230" t="s">
        <v>91</v>
      </c>
    </row>
    <row r="231" spans="1:2" x14ac:dyDescent="0.3">
      <c r="A231" t="s">
        <v>57</v>
      </c>
    </row>
    <row r="232" spans="1:2" x14ac:dyDescent="0.3">
      <c r="A232" t="s">
        <v>76</v>
      </c>
      <c r="B232">
        <v>42.7097371230183</v>
      </c>
    </row>
    <row r="233" spans="1:2" x14ac:dyDescent="0.3">
      <c r="A233" t="s">
        <v>77</v>
      </c>
      <c r="B233">
        <v>42.820051180886701</v>
      </c>
    </row>
    <row r="234" spans="1:2" x14ac:dyDescent="0.3">
      <c r="A234" t="s">
        <v>78</v>
      </c>
      <c r="B234" t="s">
        <v>79</v>
      </c>
    </row>
    <row r="235" spans="1:2" x14ac:dyDescent="0.3">
      <c r="A235" t="s">
        <v>58</v>
      </c>
    </row>
    <row r="236" spans="1:2" x14ac:dyDescent="0.3">
      <c r="A236" t="s">
        <v>76</v>
      </c>
      <c r="B236">
        <v>42.820051180886701</v>
      </c>
    </row>
    <row r="237" spans="1:2" x14ac:dyDescent="0.3">
      <c r="A237" t="s">
        <v>77</v>
      </c>
      <c r="B237">
        <v>43.510339407627498</v>
      </c>
    </row>
    <row r="238" spans="1:2" x14ac:dyDescent="0.3">
      <c r="A238" t="s">
        <v>78</v>
      </c>
      <c r="B238" t="s">
        <v>99</v>
      </c>
    </row>
    <row r="239" spans="1:2" x14ac:dyDescent="0.3">
      <c r="A239" t="s">
        <v>59</v>
      </c>
    </row>
    <row r="240" spans="1:2" x14ac:dyDescent="0.3">
      <c r="A240" t="s">
        <v>76</v>
      </c>
      <c r="B240">
        <v>43.510339407627498</v>
      </c>
    </row>
    <row r="241" spans="1:2" x14ac:dyDescent="0.3">
      <c r="A241" t="s">
        <v>77</v>
      </c>
      <c r="B241">
        <v>43.759234679563498</v>
      </c>
    </row>
    <row r="242" spans="1:2" x14ac:dyDescent="0.3">
      <c r="A242" t="s">
        <v>78</v>
      </c>
      <c r="B242" t="s">
        <v>79</v>
      </c>
    </row>
    <row r="243" spans="1:2" x14ac:dyDescent="0.3">
      <c r="A243" t="s">
        <v>60</v>
      </c>
    </row>
    <row r="244" spans="1:2" x14ac:dyDescent="0.3">
      <c r="A244" t="s">
        <v>76</v>
      </c>
      <c r="B244">
        <v>43.759234679563498</v>
      </c>
    </row>
    <row r="245" spans="1:2" x14ac:dyDescent="0.3">
      <c r="A245" t="s">
        <v>77</v>
      </c>
      <c r="B245">
        <v>44.768072562358199</v>
      </c>
    </row>
    <row r="246" spans="1:2" x14ac:dyDescent="0.3">
      <c r="A246" t="s">
        <v>78</v>
      </c>
      <c r="B246" t="s">
        <v>91</v>
      </c>
    </row>
    <row r="247" spans="1:2" x14ac:dyDescent="0.3">
      <c r="A247" t="s">
        <v>3</v>
      </c>
    </row>
    <row r="248" spans="1:2" x14ac:dyDescent="0.3">
      <c r="A248" t="s">
        <v>76</v>
      </c>
      <c r="B248">
        <v>0</v>
      </c>
    </row>
    <row r="249" spans="1:2" x14ac:dyDescent="0.3">
      <c r="A249" t="s">
        <v>77</v>
      </c>
      <c r="B249">
        <v>18.0524187256594</v>
      </c>
    </row>
    <row r="250" spans="1:2" x14ac:dyDescent="0.3">
      <c r="A250" t="s">
        <v>78</v>
      </c>
      <c r="B250" t="s">
        <v>79</v>
      </c>
    </row>
    <row r="251" spans="1:2" x14ac:dyDescent="0.3">
      <c r="A251" t="s">
        <v>4</v>
      </c>
    </row>
    <row r="252" spans="1:2" x14ac:dyDescent="0.3">
      <c r="A252" t="s">
        <v>76</v>
      </c>
      <c r="B252">
        <v>18.0524187256594</v>
      </c>
    </row>
    <row r="253" spans="1:2" x14ac:dyDescent="0.3">
      <c r="A253" t="s">
        <v>77</v>
      </c>
      <c r="B253">
        <v>19.737314558992701</v>
      </c>
    </row>
    <row r="254" spans="1:2" x14ac:dyDescent="0.3">
      <c r="A254" t="s">
        <v>78</v>
      </c>
      <c r="B254" t="s">
        <v>100</v>
      </c>
    </row>
    <row r="255" spans="1:2" x14ac:dyDescent="0.3">
      <c r="A255" t="s">
        <v>5</v>
      </c>
    </row>
    <row r="256" spans="1:2" x14ac:dyDescent="0.3">
      <c r="A256" t="s">
        <v>76</v>
      </c>
      <c r="B256">
        <v>19.737314558992701</v>
      </c>
    </row>
    <row r="257" spans="1:2" x14ac:dyDescent="0.3">
      <c r="A257" t="s">
        <v>77</v>
      </c>
      <c r="B257">
        <v>26.337244583805901</v>
      </c>
    </row>
    <row r="258" spans="1:2" x14ac:dyDescent="0.3">
      <c r="A258" t="s">
        <v>78</v>
      </c>
      <c r="B258" t="s">
        <v>79</v>
      </c>
    </row>
    <row r="259" spans="1:2" x14ac:dyDescent="0.3">
      <c r="A259" t="s">
        <v>6</v>
      </c>
    </row>
    <row r="260" spans="1:2" x14ac:dyDescent="0.3">
      <c r="A260" t="s">
        <v>76</v>
      </c>
      <c r="B260">
        <v>26.337244583805901</v>
      </c>
    </row>
    <row r="261" spans="1:2" x14ac:dyDescent="0.3">
      <c r="A261" t="s">
        <v>77</v>
      </c>
      <c r="B261">
        <v>27.085485046562098</v>
      </c>
    </row>
    <row r="262" spans="1:2" x14ac:dyDescent="0.3">
      <c r="A262" t="s">
        <v>78</v>
      </c>
      <c r="B262" t="s">
        <v>101</v>
      </c>
    </row>
    <row r="263" spans="1:2" x14ac:dyDescent="0.3">
      <c r="A263" t="s">
        <v>7</v>
      </c>
    </row>
    <row r="264" spans="1:2" x14ac:dyDescent="0.3">
      <c r="A264" t="s">
        <v>76</v>
      </c>
      <c r="B264">
        <v>27.085485046562098</v>
      </c>
    </row>
    <row r="265" spans="1:2" x14ac:dyDescent="0.3">
      <c r="A265" t="s">
        <v>77</v>
      </c>
      <c r="B265">
        <v>30.321712125498198</v>
      </c>
    </row>
    <row r="266" spans="1:2" x14ac:dyDescent="0.3">
      <c r="A266" t="s">
        <v>78</v>
      </c>
      <c r="B266" t="s">
        <v>79</v>
      </c>
    </row>
    <row r="267" spans="1:2" x14ac:dyDescent="0.3">
      <c r="A267" t="s">
        <v>8</v>
      </c>
    </row>
    <row r="268" spans="1:2" x14ac:dyDescent="0.3">
      <c r="A268" t="s">
        <v>76</v>
      </c>
      <c r="B268">
        <v>30.321712125498198</v>
      </c>
    </row>
    <row r="269" spans="1:2" x14ac:dyDescent="0.3">
      <c r="A269" t="s">
        <v>77</v>
      </c>
      <c r="B269">
        <v>31.7949380957184</v>
      </c>
    </row>
    <row r="270" spans="1:2" x14ac:dyDescent="0.3">
      <c r="A270" t="s">
        <v>78</v>
      </c>
      <c r="B270" t="s">
        <v>102</v>
      </c>
    </row>
    <row r="271" spans="1:2" x14ac:dyDescent="0.3">
      <c r="A271" t="s">
        <v>9</v>
      </c>
    </row>
    <row r="272" spans="1:2" x14ac:dyDescent="0.3">
      <c r="A272" t="s">
        <v>76</v>
      </c>
      <c r="B272">
        <v>31.7949380957184</v>
      </c>
    </row>
    <row r="273" spans="1:2" x14ac:dyDescent="0.3">
      <c r="A273" t="s">
        <v>77</v>
      </c>
      <c r="B273">
        <v>39.1899738556492</v>
      </c>
    </row>
    <row r="274" spans="1:2" x14ac:dyDescent="0.3">
      <c r="A274" t="s">
        <v>78</v>
      </c>
      <c r="B274" t="s">
        <v>79</v>
      </c>
    </row>
    <row r="275" spans="1:2" x14ac:dyDescent="0.3">
      <c r="A275" t="s">
        <v>10</v>
      </c>
    </row>
    <row r="276" spans="1:2" x14ac:dyDescent="0.3">
      <c r="A276" t="s">
        <v>76</v>
      </c>
      <c r="B276">
        <v>39.1899738556492</v>
      </c>
    </row>
    <row r="277" spans="1:2" x14ac:dyDescent="0.3">
      <c r="A277" t="s">
        <v>77</v>
      </c>
      <c r="B277">
        <v>40.040563761159298</v>
      </c>
    </row>
    <row r="278" spans="1:2" x14ac:dyDescent="0.3">
      <c r="A278" t="s">
        <v>78</v>
      </c>
      <c r="B278" t="s">
        <v>103</v>
      </c>
    </row>
    <row r="279" spans="1:2" x14ac:dyDescent="0.3">
      <c r="A279" t="s">
        <v>11</v>
      </c>
    </row>
    <row r="280" spans="1:2" x14ac:dyDescent="0.3">
      <c r="A280" t="s">
        <v>76</v>
      </c>
      <c r="B280">
        <v>40.040563761159298</v>
      </c>
    </row>
    <row r="281" spans="1:2" x14ac:dyDescent="0.3">
      <c r="A281" t="s">
        <v>77</v>
      </c>
      <c r="B281">
        <v>44.768072562358199</v>
      </c>
    </row>
    <row r="282" spans="1:2" x14ac:dyDescent="0.3">
      <c r="A282" t="s">
        <v>78</v>
      </c>
      <c r="B282" t="s">
        <v>79</v>
      </c>
    </row>
    <row r="283" spans="1:2" x14ac:dyDescent="0.3">
      <c r="A283" t="s">
        <v>61</v>
      </c>
    </row>
    <row r="284" spans="1:2" x14ac:dyDescent="0.3">
      <c r="A284" t="s">
        <v>69</v>
      </c>
      <c r="B284" t="s">
        <v>70</v>
      </c>
    </row>
    <row r="285" spans="1:2" x14ac:dyDescent="0.3">
      <c r="A285" t="s">
        <v>71</v>
      </c>
      <c r="B285" t="s">
        <v>104</v>
      </c>
    </row>
    <row r="286" spans="1:2" x14ac:dyDescent="0.3">
      <c r="A286" t="s">
        <v>73</v>
      </c>
      <c r="B286">
        <v>0</v>
      </c>
    </row>
    <row r="287" spans="1:2" x14ac:dyDescent="0.3">
      <c r="A287" t="s">
        <v>74</v>
      </c>
      <c r="B287">
        <v>44.768072562358199</v>
      </c>
    </row>
    <row r="288" spans="1:2" x14ac:dyDescent="0.3">
      <c r="A288" t="s">
        <v>75</v>
      </c>
      <c r="B288">
        <v>48</v>
      </c>
    </row>
    <row r="289" spans="1:2" x14ac:dyDescent="0.3">
      <c r="A289" t="s">
        <v>3</v>
      </c>
    </row>
    <row r="290" spans="1:2" x14ac:dyDescent="0.3">
      <c r="A290" t="s">
        <v>76</v>
      </c>
      <c r="B290">
        <v>0</v>
      </c>
    </row>
    <row r="291" spans="1:2" x14ac:dyDescent="0.3">
      <c r="A291" t="s">
        <v>77</v>
      </c>
      <c r="B291">
        <v>8.7520362811791301</v>
      </c>
    </row>
    <row r="292" spans="1:2" x14ac:dyDescent="0.3">
      <c r="A292" t="s">
        <v>78</v>
      </c>
      <c r="B292" t="s">
        <v>105</v>
      </c>
    </row>
    <row r="293" spans="1:2" x14ac:dyDescent="0.3">
      <c r="A293" t="s">
        <v>4</v>
      </c>
    </row>
    <row r="294" spans="1:2" x14ac:dyDescent="0.3">
      <c r="A294" t="s">
        <v>76</v>
      </c>
      <c r="B294">
        <v>8.7520362811791301</v>
      </c>
    </row>
    <row r="295" spans="1:2" x14ac:dyDescent="0.3">
      <c r="A295" t="s">
        <v>77</v>
      </c>
      <c r="B295">
        <v>8.8720362811791293</v>
      </c>
    </row>
    <row r="296" spans="1:2" x14ac:dyDescent="0.3">
      <c r="A296" t="s">
        <v>78</v>
      </c>
      <c r="B296" t="s">
        <v>106</v>
      </c>
    </row>
    <row r="297" spans="1:2" x14ac:dyDescent="0.3">
      <c r="A297" t="s">
        <v>5</v>
      </c>
    </row>
    <row r="298" spans="1:2" x14ac:dyDescent="0.3">
      <c r="A298" t="s">
        <v>76</v>
      </c>
      <c r="B298">
        <v>8.8720362811791293</v>
      </c>
    </row>
    <row r="299" spans="1:2" x14ac:dyDescent="0.3">
      <c r="A299" t="s">
        <v>77</v>
      </c>
      <c r="B299">
        <v>10.4160362811791</v>
      </c>
    </row>
    <row r="300" spans="1:2" x14ac:dyDescent="0.3">
      <c r="A300" t="s">
        <v>78</v>
      </c>
      <c r="B300" t="s">
        <v>105</v>
      </c>
    </row>
    <row r="301" spans="1:2" x14ac:dyDescent="0.3">
      <c r="A301" t="s">
        <v>6</v>
      </c>
    </row>
    <row r="302" spans="1:2" x14ac:dyDescent="0.3">
      <c r="A302" t="s">
        <v>76</v>
      </c>
      <c r="B302">
        <v>10.4160362811791</v>
      </c>
    </row>
    <row r="303" spans="1:2" x14ac:dyDescent="0.3">
      <c r="A303" t="s">
        <v>77</v>
      </c>
      <c r="B303">
        <v>10.5440362811791</v>
      </c>
    </row>
    <row r="304" spans="1:2" x14ac:dyDescent="0.3">
      <c r="A304" t="s">
        <v>78</v>
      </c>
      <c r="B304" t="s">
        <v>106</v>
      </c>
    </row>
    <row r="305" spans="1:2" x14ac:dyDescent="0.3">
      <c r="A305" t="s">
        <v>7</v>
      </c>
    </row>
    <row r="306" spans="1:2" x14ac:dyDescent="0.3">
      <c r="A306" t="s">
        <v>76</v>
      </c>
      <c r="B306">
        <v>10.5440362811791</v>
      </c>
    </row>
    <row r="307" spans="1:2" x14ac:dyDescent="0.3">
      <c r="A307" t="s">
        <v>77</v>
      </c>
      <c r="B307">
        <v>15.8320362811791</v>
      </c>
    </row>
    <row r="308" spans="1:2" x14ac:dyDescent="0.3">
      <c r="A308" t="s">
        <v>78</v>
      </c>
      <c r="B308" t="s">
        <v>105</v>
      </c>
    </row>
    <row r="309" spans="1:2" x14ac:dyDescent="0.3">
      <c r="A309" t="s">
        <v>8</v>
      </c>
    </row>
    <row r="310" spans="1:2" x14ac:dyDescent="0.3">
      <c r="A310" t="s">
        <v>76</v>
      </c>
      <c r="B310">
        <v>15.8320362811791</v>
      </c>
    </row>
    <row r="311" spans="1:2" x14ac:dyDescent="0.3">
      <c r="A311" t="s">
        <v>77</v>
      </c>
      <c r="B311">
        <v>16.1520362811791</v>
      </c>
    </row>
    <row r="312" spans="1:2" x14ac:dyDescent="0.3">
      <c r="A312" t="s">
        <v>78</v>
      </c>
      <c r="B312" t="s">
        <v>106</v>
      </c>
    </row>
    <row r="313" spans="1:2" x14ac:dyDescent="0.3">
      <c r="A313" t="s">
        <v>9</v>
      </c>
    </row>
    <row r="314" spans="1:2" x14ac:dyDescent="0.3">
      <c r="A314" t="s">
        <v>76</v>
      </c>
      <c r="B314">
        <v>16.1520362811791</v>
      </c>
    </row>
    <row r="315" spans="1:2" x14ac:dyDescent="0.3">
      <c r="A315" t="s">
        <v>77</v>
      </c>
      <c r="B315">
        <v>17.4160362811791</v>
      </c>
    </row>
    <row r="316" spans="1:2" x14ac:dyDescent="0.3">
      <c r="A316" t="s">
        <v>78</v>
      </c>
      <c r="B316" t="s">
        <v>105</v>
      </c>
    </row>
    <row r="317" spans="1:2" x14ac:dyDescent="0.3">
      <c r="A317" t="s">
        <v>10</v>
      </c>
    </row>
    <row r="318" spans="1:2" x14ac:dyDescent="0.3">
      <c r="A318" t="s">
        <v>76</v>
      </c>
      <c r="B318">
        <v>17.4160362811791</v>
      </c>
    </row>
    <row r="319" spans="1:2" x14ac:dyDescent="0.3">
      <c r="A319" t="s">
        <v>77</v>
      </c>
      <c r="B319">
        <v>17.5440362811791</v>
      </c>
    </row>
    <row r="320" spans="1:2" x14ac:dyDescent="0.3">
      <c r="A320" t="s">
        <v>78</v>
      </c>
      <c r="B320" t="s">
        <v>106</v>
      </c>
    </row>
    <row r="321" spans="1:2" x14ac:dyDescent="0.3">
      <c r="A321" t="s">
        <v>11</v>
      </c>
    </row>
    <row r="322" spans="1:2" x14ac:dyDescent="0.3">
      <c r="A322" t="s">
        <v>76</v>
      </c>
      <c r="B322">
        <v>17.5440362811791</v>
      </c>
    </row>
    <row r="323" spans="1:2" x14ac:dyDescent="0.3">
      <c r="A323" t="s">
        <v>77</v>
      </c>
      <c r="B323">
        <v>18.336036281179101</v>
      </c>
    </row>
    <row r="324" spans="1:2" x14ac:dyDescent="0.3">
      <c r="A324" t="s">
        <v>78</v>
      </c>
      <c r="B324" t="s">
        <v>105</v>
      </c>
    </row>
    <row r="325" spans="1:2" x14ac:dyDescent="0.3">
      <c r="A325" t="s">
        <v>12</v>
      </c>
    </row>
    <row r="326" spans="1:2" x14ac:dyDescent="0.3">
      <c r="A326" t="s">
        <v>76</v>
      </c>
      <c r="B326">
        <v>18.336036281179101</v>
      </c>
    </row>
    <row r="327" spans="1:2" x14ac:dyDescent="0.3">
      <c r="A327" t="s">
        <v>77</v>
      </c>
      <c r="B327">
        <v>18.488036281179099</v>
      </c>
    </row>
    <row r="328" spans="1:2" x14ac:dyDescent="0.3">
      <c r="A328" t="s">
        <v>78</v>
      </c>
      <c r="B328" t="s">
        <v>106</v>
      </c>
    </row>
    <row r="329" spans="1:2" x14ac:dyDescent="0.3">
      <c r="A329" t="s">
        <v>13</v>
      </c>
    </row>
    <row r="330" spans="1:2" x14ac:dyDescent="0.3">
      <c r="A330" t="s">
        <v>76</v>
      </c>
      <c r="B330">
        <v>18.488036281179099</v>
      </c>
    </row>
    <row r="331" spans="1:2" x14ac:dyDescent="0.3">
      <c r="A331" t="s">
        <v>77</v>
      </c>
      <c r="B331">
        <v>18.680036281179099</v>
      </c>
    </row>
    <row r="332" spans="1:2" x14ac:dyDescent="0.3">
      <c r="A332" t="s">
        <v>78</v>
      </c>
      <c r="B332" t="s">
        <v>105</v>
      </c>
    </row>
    <row r="333" spans="1:2" x14ac:dyDescent="0.3">
      <c r="A333" t="s">
        <v>14</v>
      </c>
    </row>
    <row r="334" spans="1:2" x14ac:dyDescent="0.3">
      <c r="A334" t="s">
        <v>76</v>
      </c>
      <c r="B334">
        <v>18.680036281179099</v>
      </c>
    </row>
    <row r="335" spans="1:2" x14ac:dyDescent="0.3">
      <c r="A335" t="s">
        <v>77</v>
      </c>
      <c r="B335">
        <v>19.0560362811791</v>
      </c>
    </row>
    <row r="336" spans="1:2" x14ac:dyDescent="0.3">
      <c r="A336" t="s">
        <v>78</v>
      </c>
      <c r="B336" t="s">
        <v>106</v>
      </c>
    </row>
    <row r="337" spans="1:2" x14ac:dyDescent="0.3">
      <c r="A337" t="s">
        <v>15</v>
      </c>
    </row>
    <row r="338" spans="1:2" x14ac:dyDescent="0.3">
      <c r="A338" t="s">
        <v>76</v>
      </c>
      <c r="B338">
        <v>19.0560362811791</v>
      </c>
    </row>
    <row r="339" spans="1:2" x14ac:dyDescent="0.3">
      <c r="A339" t="s">
        <v>77</v>
      </c>
      <c r="B339">
        <v>20.4800362811791</v>
      </c>
    </row>
    <row r="340" spans="1:2" x14ac:dyDescent="0.3">
      <c r="A340" t="s">
        <v>78</v>
      </c>
      <c r="B340" t="s">
        <v>105</v>
      </c>
    </row>
    <row r="341" spans="1:2" x14ac:dyDescent="0.3">
      <c r="A341" t="s">
        <v>16</v>
      </c>
    </row>
    <row r="342" spans="1:2" x14ac:dyDescent="0.3">
      <c r="A342" t="s">
        <v>76</v>
      </c>
      <c r="B342">
        <v>20.4800362811791</v>
      </c>
    </row>
    <row r="343" spans="1:2" x14ac:dyDescent="0.3">
      <c r="A343" t="s">
        <v>77</v>
      </c>
      <c r="B343">
        <v>20.624036281179102</v>
      </c>
    </row>
    <row r="344" spans="1:2" x14ac:dyDescent="0.3">
      <c r="A344" t="s">
        <v>78</v>
      </c>
      <c r="B344" t="s">
        <v>106</v>
      </c>
    </row>
    <row r="345" spans="1:2" x14ac:dyDescent="0.3">
      <c r="A345" t="s">
        <v>17</v>
      </c>
    </row>
    <row r="346" spans="1:2" x14ac:dyDescent="0.3">
      <c r="A346" t="s">
        <v>76</v>
      </c>
      <c r="B346">
        <v>20.624036281179102</v>
      </c>
    </row>
    <row r="347" spans="1:2" x14ac:dyDescent="0.3">
      <c r="A347" t="s">
        <v>77</v>
      </c>
      <c r="B347">
        <v>21.016036281179101</v>
      </c>
    </row>
    <row r="348" spans="1:2" x14ac:dyDescent="0.3">
      <c r="A348" t="s">
        <v>78</v>
      </c>
      <c r="B348" t="s">
        <v>105</v>
      </c>
    </row>
    <row r="349" spans="1:2" x14ac:dyDescent="0.3">
      <c r="A349" t="s">
        <v>18</v>
      </c>
    </row>
    <row r="350" spans="1:2" x14ac:dyDescent="0.3">
      <c r="A350" t="s">
        <v>76</v>
      </c>
      <c r="B350">
        <v>21.016036281179101</v>
      </c>
    </row>
    <row r="351" spans="1:2" x14ac:dyDescent="0.3">
      <c r="A351" t="s">
        <v>77</v>
      </c>
      <c r="B351">
        <v>21.664036281179101</v>
      </c>
    </row>
    <row r="352" spans="1:2" x14ac:dyDescent="0.3">
      <c r="A352" t="s">
        <v>78</v>
      </c>
      <c r="B352" t="s">
        <v>106</v>
      </c>
    </row>
    <row r="353" spans="1:2" x14ac:dyDescent="0.3">
      <c r="A353" t="s">
        <v>19</v>
      </c>
    </row>
    <row r="354" spans="1:2" x14ac:dyDescent="0.3">
      <c r="A354" t="s">
        <v>76</v>
      </c>
      <c r="B354">
        <v>21.664036281179101</v>
      </c>
    </row>
    <row r="355" spans="1:2" x14ac:dyDescent="0.3">
      <c r="A355" t="s">
        <v>77</v>
      </c>
      <c r="B355">
        <v>22.064036281179099</v>
      </c>
    </row>
    <row r="356" spans="1:2" x14ac:dyDescent="0.3">
      <c r="A356" t="s">
        <v>78</v>
      </c>
      <c r="B356" t="s">
        <v>105</v>
      </c>
    </row>
    <row r="357" spans="1:2" x14ac:dyDescent="0.3">
      <c r="A357" t="s">
        <v>20</v>
      </c>
    </row>
    <row r="358" spans="1:2" x14ac:dyDescent="0.3">
      <c r="A358" t="s">
        <v>76</v>
      </c>
      <c r="B358">
        <v>22.064036281179099</v>
      </c>
    </row>
    <row r="359" spans="1:2" x14ac:dyDescent="0.3">
      <c r="A359" t="s">
        <v>77</v>
      </c>
      <c r="B359">
        <v>22.224036281179099</v>
      </c>
    </row>
    <row r="360" spans="1:2" x14ac:dyDescent="0.3">
      <c r="A360" t="s">
        <v>78</v>
      </c>
      <c r="B360" t="s">
        <v>106</v>
      </c>
    </row>
    <row r="361" spans="1:2" x14ac:dyDescent="0.3">
      <c r="A361" t="s">
        <v>21</v>
      </c>
    </row>
    <row r="362" spans="1:2" x14ac:dyDescent="0.3">
      <c r="A362" t="s">
        <v>76</v>
      </c>
      <c r="B362">
        <v>22.224036281179099</v>
      </c>
    </row>
    <row r="363" spans="1:2" x14ac:dyDescent="0.3">
      <c r="A363" t="s">
        <v>77</v>
      </c>
      <c r="B363">
        <v>26.408036281179101</v>
      </c>
    </row>
    <row r="364" spans="1:2" x14ac:dyDescent="0.3">
      <c r="A364" t="s">
        <v>78</v>
      </c>
      <c r="B364" t="s">
        <v>105</v>
      </c>
    </row>
    <row r="365" spans="1:2" x14ac:dyDescent="0.3">
      <c r="A365" t="s">
        <v>22</v>
      </c>
    </row>
    <row r="366" spans="1:2" x14ac:dyDescent="0.3">
      <c r="A366" t="s">
        <v>76</v>
      </c>
      <c r="B366">
        <v>26.408036281179101</v>
      </c>
    </row>
    <row r="367" spans="1:2" x14ac:dyDescent="0.3">
      <c r="A367" t="s">
        <v>77</v>
      </c>
      <c r="B367">
        <v>26.528036281179102</v>
      </c>
    </row>
    <row r="368" spans="1:2" x14ac:dyDescent="0.3">
      <c r="A368" t="s">
        <v>78</v>
      </c>
      <c r="B368" t="s">
        <v>106</v>
      </c>
    </row>
    <row r="369" spans="1:2" x14ac:dyDescent="0.3">
      <c r="A369" t="s">
        <v>23</v>
      </c>
    </row>
    <row r="370" spans="1:2" x14ac:dyDescent="0.3">
      <c r="A370" t="s">
        <v>76</v>
      </c>
      <c r="B370">
        <v>26.528036281179102</v>
      </c>
    </row>
    <row r="371" spans="1:2" x14ac:dyDescent="0.3">
      <c r="A371" t="s">
        <v>77</v>
      </c>
      <c r="B371">
        <v>30.1520362811791</v>
      </c>
    </row>
    <row r="372" spans="1:2" x14ac:dyDescent="0.3">
      <c r="A372" t="s">
        <v>78</v>
      </c>
      <c r="B372" t="s">
        <v>105</v>
      </c>
    </row>
    <row r="373" spans="1:2" x14ac:dyDescent="0.3">
      <c r="A373" t="s">
        <v>24</v>
      </c>
    </row>
    <row r="374" spans="1:2" x14ac:dyDescent="0.3">
      <c r="A374" t="s">
        <v>76</v>
      </c>
      <c r="B374">
        <v>30.1520362811791</v>
      </c>
    </row>
    <row r="375" spans="1:2" x14ac:dyDescent="0.3">
      <c r="A375" t="s">
        <v>77</v>
      </c>
      <c r="B375">
        <v>30.568036281179101</v>
      </c>
    </row>
    <row r="376" spans="1:2" x14ac:dyDescent="0.3">
      <c r="A376" t="s">
        <v>78</v>
      </c>
      <c r="B376" t="s">
        <v>106</v>
      </c>
    </row>
    <row r="377" spans="1:2" x14ac:dyDescent="0.3">
      <c r="A377" t="s">
        <v>25</v>
      </c>
    </row>
    <row r="378" spans="1:2" x14ac:dyDescent="0.3">
      <c r="A378" t="s">
        <v>76</v>
      </c>
      <c r="B378">
        <v>30.568036281179101</v>
      </c>
    </row>
    <row r="379" spans="1:2" x14ac:dyDescent="0.3">
      <c r="A379" t="s">
        <v>77</v>
      </c>
      <c r="B379">
        <v>30.8960362811791</v>
      </c>
    </row>
    <row r="380" spans="1:2" x14ac:dyDescent="0.3">
      <c r="A380" t="s">
        <v>78</v>
      </c>
      <c r="B380" t="s">
        <v>105</v>
      </c>
    </row>
    <row r="381" spans="1:2" x14ac:dyDescent="0.3">
      <c r="A381" t="s">
        <v>26</v>
      </c>
    </row>
    <row r="382" spans="1:2" x14ac:dyDescent="0.3">
      <c r="A382" t="s">
        <v>76</v>
      </c>
      <c r="B382">
        <v>30.8960362811791</v>
      </c>
    </row>
    <row r="383" spans="1:2" x14ac:dyDescent="0.3">
      <c r="A383" t="s">
        <v>77</v>
      </c>
      <c r="B383">
        <v>31.488036281179099</v>
      </c>
    </row>
    <row r="384" spans="1:2" x14ac:dyDescent="0.3">
      <c r="A384" t="s">
        <v>78</v>
      </c>
      <c r="B384" t="s">
        <v>106</v>
      </c>
    </row>
    <row r="385" spans="1:2" x14ac:dyDescent="0.3">
      <c r="A385" t="s">
        <v>27</v>
      </c>
    </row>
    <row r="386" spans="1:2" x14ac:dyDescent="0.3">
      <c r="A386" t="s">
        <v>76</v>
      </c>
      <c r="B386">
        <v>31.488036281179099</v>
      </c>
    </row>
    <row r="387" spans="1:2" x14ac:dyDescent="0.3">
      <c r="A387" t="s">
        <v>77</v>
      </c>
      <c r="B387">
        <v>32.064036281179099</v>
      </c>
    </row>
    <row r="388" spans="1:2" x14ac:dyDescent="0.3">
      <c r="A388" t="s">
        <v>78</v>
      </c>
      <c r="B388" t="s">
        <v>105</v>
      </c>
    </row>
    <row r="389" spans="1:2" x14ac:dyDescent="0.3">
      <c r="A389" t="s">
        <v>28</v>
      </c>
    </row>
    <row r="390" spans="1:2" x14ac:dyDescent="0.3">
      <c r="A390" t="s">
        <v>76</v>
      </c>
      <c r="B390">
        <v>32.064036281179099</v>
      </c>
    </row>
    <row r="391" spans="1:2" x14ac:dyDescent="0.3">
      <c r="A391" t="s">
        <v>77</v>
      </c>
      <c r="B391">
        <v>32.424036281179099</v>
      </c>
    </row>
    <row r="392" spans="1:2" x14ac:dyDescent="0.3">
      <c r="A392" t="s">
        <v>78</v>
      </c>
      <c r="B392" t="s">
        <v>106</v>
      </c>
    </row>
    <row r="393" spans="1:2" x14ac:dyDescent="0.3">
      <c r="A393" t="s">
        <v>29</v>
      </c>
    </row>
    <row r="394" spans="1:2" x14ac:dyDescent="0.3">
      <c r="A394" t="s">
        <v>76</v>
      </c>
      <c r="B394">
        <v>32.424036281179099</v>
      </c>
    </row>
    <row r="395" spans="1:2" x14ac:dyDescent="0.3">
      <c r="A395" t="s">
        <v>77</v>
      </c>
      <c r="B395">
        <v>32.624036281179102</v>
      </c>
    </row>
    <row r="396" spans="1:2" x14ac:dyDescent="0.3">
      <c r="A396" t="s">
        <v>78</v>
      </c>
      <c r="B396" t="s">
        <v>105</v>
      </c>
    </row>
    <row r="397" spans="1:2" x14ac:dyDescent="0.3">
      <c r="A397" t="s">
        <v>30</v>
      </c>
    </row>
    <row r="398" spans="1:2" x14ac:dyDescent="0.3">
      <c r="A398" t="s">
        <v>76</v>
      </c>
      <c r="B398">
        <v>32.624036281179102</v>
      </c>
    </row>
    <row r="399" spans="1:2" x14ac:dyDescent="0.3">
      <c r="A399" t="s">
        <v>77</v>
      </c>
      <c r="B399">
        <v>32.856036281179101</v>
      </c>
    </row>
    <row r="400" spans="1:2" x14ac:dyDescent="0.3">
      <c r="A400" t="s">
        <v>78</v>
      </c>
      <c r="B400" t="s">
        <v>106</v>
      </c>
    </row>
    <row r="401" spans="1:2" x14ac:dyDescent="0.3">
      <c r="A401" t="s">
        <v>31</v>
      </c>
    </row>
    <row r="402" spans="1:2" x14ac:dyDescent="0.3">
      <c r="A402" t="s">
        <v>76</v>
      </c>
      <c r="B402">
        <v>32.856036281179101</v>
      </c>
    </row>
    <row r="403" spans="1:2" x14ac:dyDescent="0.3">
      <c r="A403" t="s">
        <v>77</v>
      </c>
      <c r="B403">
        <v>34.224036281179103</v>
      </c>
    </row>
    <row r="404" spans="1:2" x14ac:dyDescent="0.3">
      <c r="A404" t="s">
        <v>78</v>
      </c>
      <c r="B404" t="s">
        <v>105</v>
      </c>
    </row>
    <row r="405" spans="1:2" x14ac:dyDescent="0.3">
      <c r="A405" t="s">
        <v>32</v>
      </c>
    </row>
    <row r="406" spans="1:2" x14ac:dyDescent="0.3">
      <c r="A406" t="s">
        <v>76</v>
      </c>
      <c r="B406">
        <v>34.224036281179103</v>
      </c>
    </row>
    <row r="407" spans="1:2" x14ac:dyDescent="0.3">
      <c r="A407" t="s">
        <v>77</v>
      </c>
      <c r="B407">
        <v>34.6400362811791</v>
      </c>
    </row>
    <row r="408" spans="1:2" x14ac:dyDescent="0.3">
      <c r="A408" t="s">
        <v>78</v>
      </c>
      <c r="B408" t="s">
        <v>106</v>
      </c>
    </row>
    <row r="409" spans="1:2" x14ac:dyDescent="0.3">
      <c r="A409" t="s">
        <v>33</v>
      </c>
    </row>
    <row r="410" spans="1:2" x14ac:dyDescent="0.3">
      <c r="A410" t="s">
        <v>76</v>
      </c>
      <c r="B410">
        <v>34.6400362811791</v>
      </c>
    </row>
    <row r="411" spans="1:2" x14ac:dyDescent="0.3">
      <c r="A411" t="s">
        <v>77</v>
      </c>
      <c r="B411">
        <v>34.792036281179101</v>
      </c>
    </row>
    <row r="412" spans="1:2" x14ac:dyDescent="0.3">
      <c r="A412" t="s">
        <v>78</v>
      </c>
      <c r="B412" t="s">
        <v>105</v>
      </c>
    </row>
    <row r="413" spans="1:2" x14ac:dyDescent="0.3">
      <c r="A413" t="s">
        <v>34</v>
      </c>
    </row>
    <row r="414" spans="1:2" x14ac:dyDescent="0.3">
      <c r="A414" t="s">
        <v>76</v>
      </c>
      <c r="B414">
        <v>34.792036281179101</v>
      </c>
    </row>
    <row r="415" spans="1:2" x14ac:dyDescent="0.3">
      <c r="A415" t="s">
        <v>77</v>
      </c>
      <c r="B415">
        <v>34.992036281179097</v>
      </c>
    </row>
    <row r="416" spans="1:2" x14ac:dyDescent="0.3">
      <c r="A416" t="s">
        <v>78</v>
      </c>
      <c r="B416" t="s">
        <v>106</v>
      </c>
    </row>
    <row r="417" spans="1:2" x14ac:dyDescent="0.3">
      <c r="A417" t="s">
        <v>35</v>
      </c>
    </row>
    <row r="418" spans="1:2" x14ac:dyDescent="0.3">
      <c r="A418" t="s">
        <v>76</v>
      </c>
      <c r="B418">
        <v>34.992036281179097</v>
      </c>
    </row>
    <row r="419" spans="1:2" x14ac:dyDescent="0.3">
      <c r="A419" t="s">
        <v>77</v>
      </c>
      <c r="B419">
        <v>35.8960362811791</v>
      </c>
    </row>
    <row r="420" spans="1:2" x14ac:dyDescent="0.3">
      <c r="A420" t="s">
        <v>78</v>
      </c>
      <c r="B420" t="s">
        <v>105</v>
      </c>
    </row>
    <row r="421" spans="1:2" x14ac:dyDescent="0.3">
      <c r="A421" t="s">
        <v>36</v>
      </c>
    </row>
    <row r="422" spans="1:2" x14ac:dyDescent="0.3">
      <c r="A422" t="s">
        <v>76</v>
      </c>
      <c r="B422">
        <v>35.8960362811791</v>
      </c>
    </row>
    <row r="423" spans="1:2" x14ac:dyDescent="0.3">
      <c r="A423" t="s">
        <v>77</v>
      </c>
      <c r="B423">
        <v>36.0240362811791</v>
      </c>
    </row>
    <row r="424" spans="1:2" x14ac:dyDescent="0.3">
      <c r="A424" t="s">
        <v>78</v>
      </c>
      <c r="B424" t="s">
        <v>106</v>
      </c>
    </row>
    <row r="425" spans="1:2" x14ac:dyDescent="0.3">
      <c r="A425" t="s">
        <v>37</v>
      </c>
    </row>
    <row r="426" spans="1:2" x14ac:dyDescent="0.3">
      <c r="A426" t="s">
        <v>76</v>
      </c>
      <c r="B426">
        <v>36.0240362811791</v>
      </c>
    </row>
    <row r="427" spans="1:2" x14ac:dyDescent="0.3">
      <c r="A427" t="s">
        <v>77</v>
      </c>
      <c r="B427">
        <v>36.192036281179099</v>
      </c>
    </row>
    <row r="428" spans="1:2" x14ac:dyDescent="0.3">
      <c r="A428" t="s">
        <v>78</v>
      </c>
      <c r="B428" t="s">
        <v>105</v>
      </c>
    </row>
    <row r="429" spans="1:2" x14ac:dyDescent="0.3">
      <c r="A429" t="s">
        <v>38</v>
      </c>
    </row>
    <row r="430" spans="1:2" x14ac:dyDescent="0.3">
      <c r="A430" t="s">
        <v>76</v>
      </c>
      <c r="B430">
        <v>36.192036281179099</v>
      </c>
    </row>
    <row r="431" spans="1:2" x14ac:dyDescent="0.3">
      <c r="A431" t="s">
        <v>77</v>
      </c>
      <c r="B431">
        <v>36.400036281179098</v>
      </c>
    </row>
    <row r="432" spans="1:2" x14ac:dyDescent="0.3">
      <c r="A432" t="s">
        <v>78</v>
      </c>
      <c r="B432" t="s">
        <v>106</v>
      </c>
    </row>
    <row r="433" spans="1:2" x14ac:dyDescent="0.3">
      <c r="A433" t="s">
        <v>39</v>
      </c>
    </row>
    <row r="434" spans="1:2" x14ac:dyDescent="0.3">
      <c r="A434" t="s">
        <v>76</v>
      </c>
      <c r="B434">
        <v>36.400036281179098</v>
      </c>
    </row>
    <row r="435" spans="1:2" x14ac:dyDescent="0.3">
      <c r="A435" t="s">
        <v>77</v>
      </c>
      <c r="B435">
        <v>36.752036281179102</v>
      </c>
    </row>
    <row r="436" spans="1:2" x14ac:dyDescent="0.3">
      <c r="A436" t="s">
        <v>78</v>
      </c>
      <c r="B436" t="s">
        <v>105</v>
      </c>
    </row>
    <row r="437" spans="1:2" x14ac:dyDescent="0.3">
      <c r="A437" t="s">
        <v>40</v>
      </c>
    </row>
    <row r="438" spans="1:2" x14ac:dyDescent="0.3">
      <c r="A438" t="s">
        <v>76</v>
      </c>
      <c r="B438">
        <v>36.752036281179102</v>
      </c>
    </row>
    <row r="439" spans="1:2" x14ac:dyDescent="0.3">
      <c r="A439" t="s">
        <v>77</v>
      </c>
      <c r="B439">
        <v>37.3840362811791</v>
      </c>
    </row>
    <row r="440" spans="1:2" x14ac:dyDescent="0.3">
      <c r="A440" t="s">
        <v>78</v>
      </c>
      <c r="B440" t="s">
        <v>106</v>
      </c>
    </row>
    <row r="441" spans="1:2" x14ac:dyDescent="0.3">
      <c r="A441" t="s">
        <v>41</v>
      </c>
    </row>
    <row r="442" spans="1:2" x14ac:dyDescent="0.3">
      <c r="A442" t="s">
        <v>76</v>
      </c>
      <c r="B442">
        <v>37.3840362811791</v>
      </c>
    </row>
    <row r="443" spans="1:2" x14ac:dyDescent="0.3">
      <c r="A443" t="s">
        <v>77</v>
      </c>
      <c r="B443">
        <v>38.104036281179098</v>
      </c>
    </row>
    <row r="444" spans="1:2" x14ac:dyDescent="0.3">
      <c r="A444" t="s">
        <v>78</v>
      </c>
      <c r="B444" t="s">
        <v>105</v>
      </c>
    </row>
    <row r="445" spans="1:2" x14ac:dyDescent="0.3">
      <c r="A445" t="s">
        <v>42</v>
      </c>
    </row>
    <row r="446" spans="1:2" x14ac:dyDescent="0.3">
      <c r="A446" t="s">
        <v>76</v>
      </c>
      <c r="B446">
        <v>38.104036281179098</v>
      </c>
    </row>
    <row r="447" spans="1:2" x14ac:dyDescent="0.3">
      <c r="A447" t="s">
        <v>77</v>
      </c>
      <c r="B447">
        <v>38.6400362811791</v>
      </c>
    </row>
    <row r="448" spans="1:2" x14ac:dyDescent="0.3">
      <c r="A448" t="s">
        <v>78</v>
      </c>
      <c r="B448" t="s">
        <v>106</v>
      </c>
    </row>
    <row r="449" spans="1:2" x14ac:dyDescent="0.3">
      <c r="A449" t="s">
        <v>43</v>
      </c>
    </row>
    <row r="450" spans="1:2" x14ac:dyDescent="0.3">
      <c r="A450" t="s">
        <v>76</v>
      </c>
      <c r="B450">
        <v>38.6400362811791</v>
      </c>
    </row>
    <row r="451" spans="1:2" x14ac:dyDescent="0.3">
      <c r="A451" t="s">
        <v>77</v>
      </c>
      <c r="B451">
        <v>40.7680362811791</v>
      </c>
    </row>
    <row r="452" spans="1:2" x14ac:dyDescent="0.3">
      <c r="A452" t="s">
        <v>78</v>
      </c>
      <c r="B452" t="s">
        <v>105</v>
      </c>
    </row>
    <row r="453" spans="1:2" x14ac:dyDescent="0.3">
      <c r="A453" t="s">
        <v>44</v>
      </c>
    </row>
    <row r="454" spans="1:2" x14ac:dyDescent="0.3">
      <c r="A454" t="s">
        <v>76</v>
      </c>
      <c r="B454">
        <v>40.7680362811791</v>
      </c>
    </row>
    <row r="455" spans="1:2" x14ac:dyDescent="0.3">
      <c r="A455" t="s">
        <v>77</v>
      </c>
      <c r="B455">
        <v>40.952036281179097</v>
      </c>
    </row>
    <row r="456" spans="1:2" x14ac:dyDescent="0.3">
      <c r="A456" t="s">
        <v>78</v>
      </c>
      <c r="B456" t="s">
        <v>106</v>
      </c>
    </row>
    <row r="457" spans="1:2" x14ac:dyDescent="0.3">
      <c r="A457" t="s">
        <v>45</v>
      </c>
    </row>
    <row r="458" spans="1:2" x14ac:dyDescent="0.3">
      <c r="A458" t="s">
        <v>76</v>
      </c>
      <c r="B458">
        <v>40.952036281179097</v>
      </c>
    </row>
    <row r="459" spans="1:2" x14ac:dyDescent="0.3">
      <c r="A459" t="s">
        <v>77</v>
      </c>
      <c r="B459">
        <v>42.3440362811791</v>
      </c>
    </row>
    <row r="460" spans="1:2" x14ac:dyDescent="0.3">
      <c r="A460" t="s">
        <v>78</v>
      </c>
      <c r="B460" t="s">
        <v>105</v>
      </c>
    </row>
    <row r="461" spans="1:2" x14ac:dyDescent="0.3">
      <c r="A461" t="s">
        <v>46</v>
      </c>
    </row>
    <row r="462" spans="1:2" x14ac:dyDescent="0.3">
      <c r="A462" t="s">
        <v>76</v>
      </c>
      <c r="B462">
        <v>42.3440362811791</v>
      </c>
    </row>
    <row r="463" spans="1:2" x14ac:dyDescent="0.3">
      <c r="A463" t="s">
        <v>77</v>
      </c>
      <c r="B463">
        <v>42.464036281179098</v>
      </c>
    </row>
    <row r="464" spans="1:2" x14ac:dyDescent="0.3">
      <c r="A464" t="s">
        <v>78</v>
      </c>
      <c r="B464" t="s">
        <v>106</v>
      </c>
    </row>
    <row r="465" spans="1:2" x14ac:dyDescent="0.3">
      <c r="A465" t="s">
        <v>47</v>
      </c>
    </row>
    <row r="466" spans="1:2" x14ac:dyDescent="0.3">
      <c r="A466" t="s">
        <v>76</v>
      </c>
      <c r="B466">
        <v>42.464036281179098</v>
      </c>
    </row>
    <row r="467" spans="1:2" x14ac:dyDescent="0.3">
      <c r="A467" t="s">
        <v>77</v>
      </c>
      <c r="B467">
        <v>44.136036281179102</v>
      </c>
    </row>
    <row r="468" spans="1:2" x14ac:dyDescent="0.3">
      <c r="A468" t="s">
        <v>78</v>
      </c>
      <c r="B468" t="s">
        <v>105</v>
      </c>
    </row>
    <row r="469" spans="1:2" x14ac:dyDescent="0.3">
      <c r="A469" t="s">
        <v>48</v>
      </c>
    </row>
    <row r="470" spans="1:2" x14ac:dyDescent="0.3">
      <c r="A470" t="s">
        <v>76</v>
      </c>
      <c r="B470">
        <v>44.136036281179102</v>
      </c>
    </row>
    <row r="471" spans="1:2" x14ac:dyDescent="0.3">
      <c r="A471" t="s">
        <v>77</v>
      </c>
      <c r="B471">
        <v>44.264036281179102</v>
      </c>
    </row>
    <row r="472" spans="1:2" x14ac:dyDescent="0.3">
      <c r="A472" t="s">
        <v>78</v>
      </c>
      <c r="B472" t="s">
        <v>106</v>
      </c>
    </row>
    <row r="473" spans="1:2" x14ac:dyDescent="0.3">
      <c r="A473" t="s">
        <v>49</v>
      </c>
    </row>
    <row r="474" spans="1:2" x14ac:dyDescent="0.3">
      <c r="A474" t="s">
        <v>76</v>
      </c>
      <c r="B474">
        <v>44.264036281179102</v>
      </c>
    </row>
    <row r="475" spans="1:2" x14ac:dyDescent="0.3">
      <c r="A475" t="s">
        <v>77</v>
      </c>
      <c r="B475">
        <v>44.504036281179097</v>
      </c>
    </row>
    <row r="476" spans="1:2" x14ac:dyDescent="0.3">
      <c r="A476" t="s">
        <v>78</v>
      </c>
      <c r="B476" t="s">
        <v>105</v>
      </c>
    </row>
    <row r="477" spans="1:2" x14ac:dyDescent="0.3">
      <c r="A477" t="s">
        <v>50</v>
      </c>
    </row>
    <row r="478" spans="1:2" x14ac:dyDescent="0.3">
      <c r="A478" t="s">
        <v>76</v>
      </c>
      <c r="B478">
        <v>44.504036281179097</v>
      </c>
    </row>
    <row r="479" spans="1:2" x14ac:dyDescent="0.3">
      <c r="A479" t="s">
        <v>77</v>
      </c>
      <c r="B479">
        <v>44.768072562358199</v>
      </c>
    </row>
    <row r="480" spans="1:2" x14ac:dyDescent="0.3">
      <c r="A480" t="s">
        <v>78</v>
      </c>
      <c r="B480" t="s">
        <v>106</v>
      </c>
    </row>
  </sheetData>
  <phoneticPr fontId="18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BA2D6-79CB-4B18-A0B6-99391CBC8040}">
  <sheetPr codeName="Sheet2" filterMode="1"/>
  <dimension ref="A1:B466"/>
  <sheetViews>
    <sheetView workbookViewId="0">
      <selection sqref="A1:B1048576"/>
    </sheetView>
  </sheetViews>
  <sheetFormatPr defaultRowHeight="15" x14ac:dyDescent="0.3"/>
  <sheetData>
    <row r="1" spans="1:2" x14ac:dyDescent="0.3">
      <c r="A1" t="s">
        <v>108</v>
      </c>
      <c r="B1" t="s">
        <v>107</v>
      </c>
    </row>
    <row r="2" spans="1:2" hidden="1" x14ac:dyDescent="0.3">
      <c r="A2" t="s">
        <v>76</v>
      </c>
      <c r="B2">
        <v>0</v>
      </c>
    </row>
    <row r="3" spans="1:2" hidden="1" x14ac:dyDescent="0.3">
      <c r="A3" t="s">
        <v>77</v>
      </c>
      <c r="B3">
        <v>0.351597086588541</v>
      </c>
    </row>
    <row r="4" spans="1:2" x14ac:dyDescent="0.3">
      <c r="A4" t="s">
        <v>78</v>
      </c>
      <c r="B4" t="s">
        <v>79</v>
      </c>
    </row>
    <row r="5" spans="1:2" hidden="1" x14ac:dyDescent="0.3">
      <c r="A5" t="s">
        <v>4</v>
      </c>
    </row>
    <row r="6" spans="1:2" hidden="1" x14ac:dyDescent="0.3">
      <c r="A6" t="s">
        <v>76</v>
      </c>
      <c r="B6">
        <v>0.351597086588541</v>
      </c>
    </row>
    <row r="7" spans="1:2" hidden="1" x14ac:dyDescent="0.3">
      <c r="A7" t="s">
        <v>77</v>
      </c>
      <c r="B7">
        <v>0.52710706922743</v>
      </c>
    </row>
    <row r="8" spans="1:2" x14ac:dyDescent="0.3">
      <c r="A8" t="s">
        <v>78</v>
      </c>
      <c r="B8" t="s">
        <v>80</v>
      </c>
    </row>
    <row r="9" spans="1:2" hidden="1" x14ac:dyDescent="0.3">
      <c r="A9" t="s">
        <v>5</v>
      </c>
    </row>
    <row r="10" spans="1:2" hidden="1" x14ac:dyDescent="0.3">
      <c r="A10" t="s">
        <v>76</v>
      </c>
      <c r="B10">
        <v>0.52710706922743</v>
      </c>
    </row>
    <row r="11" spans="1:2" hidden="1" x14ac:dyDescent="0.3">
      <c r="A11" t="s">
        <v>77</v>
      </c>
      <c r="B11">
        <v>1.7665491224718799</v>
      </c>
    </row>
    <row r="12" spans="1:2" x14ac:dyDescent="0.3">
      <c r="A12" t="s">
        <v>78</v>
      </c>
      <c r="B12" t="s">
        <v>79</v>
      </c>
    </row>
    <row r="13" spans="1:2" hidden="1" x14ac:dyDescent="0.3">
      <c r="A13" t="s">
        <v>6</v>
      </c>
    </row>
    <row r="14" spans="1:2" hidden="1" x14ac:dyDescent="0.3">
      <c r="A14" t="s">
        <v>76</v>
      </c>
      <c r="B14">
        <v>1.7665491224718799</v>
      </c>
    </row>
    <row r="15" spans="1:2" hidden="1" x14ac:dyDescent="0.3">
      <c r="A15" t="s">
        <v>77</v>
      </c>
      <c r="B15">
        <v>2.1544261841038299</v>
      </c>
    </row>
    <row r="16" spans="1:2" x14ac:dyDescent="0.3">
      <c r="A16" t="s">
        <v>78</v>
      </c>
      <c r="B16" t="s">
        <v>81</v>
      </c>
    </row>
    <row r="17" spans="1:2" hidden="1" x14ac:dyDescent="0.3">
      <c r="A17" t="s">
        <v>7</v>
      </c>
    </row>
    <row r="18" spans="1:2" hidden="1" x14ac:dyDescent="0.3">
      <c r="A18" t="s">
        <v>76</v>
      </c>
      <c r="B18">
        <v>2.1544261841038299</v>
      </c>
    </row>
    <row r="19" spans="1:2" hidden="1" x14ac:dyDescent="0.3">
      <c r="A19" t="s">
        <v>77</v>
      </c>
      <c r="B19">
        <v>2.63033498768137</v>
      </c>
    </row>
    <row r="20" spans="1:2" x14ac:dyDescent="0.3">
      <c r="A20" t="s">
        <v>78</v>
      </c>
      <c r="B20" t="s">
        <v>79</v>
      </c>
    </row>
    <row r="21" spans="1:2" hidden="1" x14ac:dyDescent="0.3">
      <c r="A21" t="s">
        <v>8</v>
      </c>
    </row>
    <row r="22" spans="1:2" hidden="1" x14ac:dyDescent="0.3">
      <c r="A22" t="s">
        <v>76</v>
      </c>
      <c r="B22">
        <v>2.63033498768137</v>
      </c>
    </row>
    <row r="23" spans="1:2" hidden="1" x14ac:dyDescent="0.3">
      <c r="A23" t="s">
        <v>77</v>
      </c>
      <c r="B23">
        <v>3.2727015241397002</v>
      </c>
    </row>
    <row r="24" spans="1:2" x14ac:dyDescent="0.3">
      <c r="A24" t="s">
        <v>78</v>
      </c>
      <c r="B24" t="s">
        <v>82</v>
      </c>
    </row>
    <row r="25" spans="1:2" hidden="1" x14ac:dyDescent="0.3">
      <c r="A25" t="s">
        <v>9</v>
      </c>
    </row>
    <row r="26" spans="1:2" hidden="1" x14ac:dyDescent="0.3">
      <c r="A26" t="s">
        <v>76</v>
      </c>
      <c r="B26">
        <v>3.2727015241397002</v>
      </c>
    </row>
    <row r="27" spans="1:2" hidden="1" x14ac:dyDescent="0.3">
      <c r="A27" t="s">
        <v>77</v>
      </c>
      <c r="B27">
        <v>4.11804940260477</v>
      </c>
    </row>
    <row r="28" spans="1:2" x14ac:dyDescent="0.3">
      <c r="A28" t="s">
        <v>78</v>
      </c>
      <c r="B28" t="s">
        <v>79</v>
      </c>
    </row>
    <row r="29" spans="1:2" hidden="1" x14ac:dyDescent="0.3">
      <c r="A29" t="s">
        <v>10</v>
      </c>
    </row>
    <row r="30" spans="1:2" hidden="1" x14ac:dyDescent="0.3">
      <c r="A30" t="s">
        <v>76</v>
      </c>
      <c r="B30">
        <v>4.11804940260477</v>
      </c>
    </row>
    <row r="31" spans="1:2" hidden="1" x14ac:dyDescent="0.3">
      <c r="A31" t="s">
        <v>77</v>
      </c>
      <c r="B31">
        <v>4.9168874754745202</v>
      </c>
    </row>
    <row r="32" spans="1:2" x14ac:dyDescent="0.3">
      <c r="A32" t="s">
        <v>78</v>
      </c>
      <c r="B32" t="s">
        <v>83</v>
      </c>
    </row>
    <row r="33" spans="1:2" hidden="1" x14ac:dyDescent="0.3">
      <c r="A33" t="s">
        <v>11</v>
      </c>
    </row>
    <row r="34" spans="1:2" hidden="1" x14ac:dyDescent="0.3">
      <c r="A34" t="s">
        <v>76</v>
      </c>
      <c r="B34">
        <v>4.9168874754745202</v>
      </c>
    </row>
    <row r="35" spans="1:2" hidden="1" x14ac:dyDescent="0.3">
      <c r="A35" t="s">
        <v>77</v>
      </c>
      <c r="B35">
        <v>4.9366323485213899</v>
      </c>
    </row>
    <row r="36" spans="1:2" x14ac:dyDescent="0.3">
      <c r="A36" t="s">
        <v>78</v>
      </c>
      <c r="B36" t="s">
        <v>79</v>
      </c>
    </row>
    <row r="37" spans="1:2" hidden="1" x14ac:dyDescent="0.3">
      <c r="A37" t="s">
        <v>12</v>
      </c>
    </row>
    <row r="38" spans="1:2" hidden="1" x14ac:dyDescent="0.3">
      <c r="A38" t="s">
        <v>76</v>
      </c>
      <c r="B38">
        <v>4.9366323485213899</v>
      </c>
    </row>
    <row r="39" spans="1:2" hidden="1" x14ac:dyDescent="0.3">
      <c r="A39" t="s">
        <v>77</v>
      </c>
      <c r="B39">
        <v>5.9493293344023401</v>
      </c>
    </row>
    <row r="40" spans="1:2" x14ac:dyDescent="0.3">
      <c r="A40" t="s">
        <v>78</v>
      </c>
      <c r="B40" t="s">
        <v>84</v>
      </c>
    </row>
    <row r="41" spans="1:2" hidden="1" x14ac:dyDescent="0.3">
      <c r="A41" t="s">
        <v>13</v>
      </c>
    </row>
    <row r="42" spans="1:2" hidden="1" x14ac:dyDescent="0.3">
      <c r="A42" t="s">
        <v>76</v>
      </c>
      <c r="B42">
        <v>5.9493293344023401</v>
      </c>
    </row>
    <row r="43" spans="1:2" hidden="1" x14ac:dyDescent="0.3">
      <c r="A43" t="s">
        <v>77</v>
      </c>
      <c r="B43">
        <v>6.7667339975331302</v>
      </c>
    </row>
    <row r="44" spans="1:2" x14ac:dyDescent="0.3">
      <c r="A44" t="s">
        <v>78</v>
      </c>
      <c r="B44" t="s">
        <v>79</v>
      </c>
    </row>
    <row r="45" spans="1:2" hidden="1" x14ac:dyDescent="0.3">
      <c r="A45" t="s">
        <v>14</v>
      </c>
    </row>
    <row r="46" spans="1:2" hidden="1" x14ac:dyDescent="0.3">
      <c r="A46" t="s">
        <v>76</v>
      </c>
      <c r="B46">
        <v>6.7667339975331302</v>
      </c>
    </row>
    <row r="47" spans="1:2" hidden="1" x14ac:dyDescent="0.3">
      <c r="A47" t="s">
        <v>77</v>
      </c>
      <c r="B47">
        <v>8.9492006316477095</v>
      </c>
    </row>
    <row r="48" spans="1:2" x14ac:dyDescent="0.3">
      <c r="A48" t="s">
        <v>78</v>
      </c>
      <c r="B48" t="s">
        <v>85</v>
      </c>
    </row>
    <row r="49" spans="1:2" hidden="1" x14ac:dyDescent="0.3">
      <c r="A49" t="s">
        <v>15</v>
      </c>
    </row>
    <row r="50" spans="1:2" hidden="1" x14ac:dyDescent="0.3">
      <c r="A50" t="s">
        <v>76</v>
      </c>
      <c r="B50">
        <v>8.9492006316477095</v>
      </c>
    </row>
    <row r="51" spans="1:2" hidden="1" x14ac:dyDescent="0.3">
      <c r="A51" t="s">
        <v>77</v>
      </c>
      <c r="B51">
        <v>10.338019214523399</v>
      </c>
    </row>
    <row r="52" spans="1:2" x14ac:dyDescent="0.3">
      <c r="A52" t="s">
        <v>78</v>
      </c>
      <c r="B52" t="s">
        <v>79</v>
      </c>
    </row>
    <row r="53" spans="1:2" hidden="1" x14ac:dyDescent="0.3">
      <c r="A53" t="s">
        <v>16</v>
      </c>
    </row>
    <row r="54" spans="1:2" hidden="1" x14ac:dyDescent="0.3">
      <c r="A54" t="s">
        <v>76</v>
      </c>
      <c r="B54">
        <v>10.338019214523399</v>
      </c>
    </row>
    <row r="55" spans="1:2" hidden="1" x14ac:dyDescent="0.3">
      <c r="A55" t="s">
        <v>77</v>
      </c>
      <c r="B55">
        <v>10.6047943881346</v>
      </c>
    </row>
    <row r="56" spans="1:2" x14ac:dyDescent="0.3">
      <c r="A56" t="s">
        <v>78</v>
      </c>
      <c r="B56" t="s">
        <v>86</v>
      </c>
    </row>
    <row r="57" spans="1:2" hidden="1" x14ac:dyDescent="0.3">
      <c r="A57" t="s">
        <v>17</v>
      </c>
    </row>
    <row r="58" spans="1:2" hidden="1" x14ac:dyDescent="0.3">
      <c r="A58" t="s">
        <v>76</v>
      </c>
      <c r="B58">
        <v>10.6047943881346</v>
      </c>
    </row>
    <row r="59" spans="1:2" hidden="1" x14ac:dyDescent="0.3">
      <c r="A59" t="s">
        <v>77</v>
      </c>
      <c r="B59">
        <v>13.2459129363309</v>
      </c>
    </row>
    <row r="60" spans="1:2" x14ac:dyDescent="0.3">
      <c r="A60" t="s">
        <v>78</v>
      </c>
      <c r="B60" t="s">
        <v>79</v>
      </c>
    </row>
    <row r="61" spans="1:2" hidden="1" x14ac:dyDescent="0.3">
      <c r="A61" t="s">
        <v>18</v>
      </c>
    </row>
    <row r="62" spans="1:2" hidden="1" x14ac:dyDescent="0.3">
      <c r="A62" t="s">
        <v>76</v>
      </c>
      <c r="B62">
        <v>13.2459129363309</v>
      </c>
    </row>
    <row r="63" spans="1:2" hidden="1" x14ac:dyDescent="0.3">
      <c r="A63" t="s">
        <v>77</v>
      </c>
      <c r="B63">
        <v>14.4431409981445</v>
      </c>
    </row>
    <row r="64" spans="1:2" x14ac:dyDescent="0.3">
      <c r="A64" t="s">
        <v>78</v>
      </c>
      <c r="B64" t="s">
        <v>87</v>
      </c>
    </row>
    <row r="65" spans="1:2" hidden="1" x14ac:dyDescent="0.3">
      <c r="A65" t="s">
        <v>19</v>
      </c>
    </row>
    <row r="66" spans="1:2" hidden="1" x14ac:dyDescent="0.3">
      <c r="A66" t="s">
        <v>76</v>
      </c>
      <c r="B66">
        <v>14.4431409981445</v>
      </c>
    </row>
    <row r="67" spans="1:2" hidden="1" x14ac:dyDescent="0.3">
      <c r="A67" t="s">
        <v>77</v>
      </c>
      <c r="B67">
        <v>14.493077017185501</v>
      </c>
    </row>
    <row r="68" spans="1:2" x14ac:dyDescent="0.3">
      <c r="A68" t="s">
        <v>78</v>
      </c>
      <c r="B68" t="s">
        <v>79</v>
      </c>
    </row>
    <row r="69" spans="1:2" hidden="1" x14ac:dyDescent="0.3">
      <c r="A69" t="s">
        <v>20</v>
      </c>
    </row>
    <row r="70" spans="1:2" hidden="1" x14ac:dyDescent="0.3">
      <c r="A70" t="s">
        <v>76</v>
      </c>
      <c r="B70">
        <v>14.493077017185501</v>
      </c>
    </row>
    <row r="71" spans="1:2" hidden="1" x14ac:dyDescent="0.3">
      <c r="A71" t="s">
        <v>77</v>
      </c>
      <c r="B71">
        <v>15.4455608593543</v>
      </c>
    </row>
    <row r="72" spans="1:2" x14ac:dyDescent="0.3">
      <c r="A72" t="s">
        <v>78</v>
      </c>
      <c r="B72" t="s">
        <v>88</v>
      </c>
    </row>
    <row r="73" spans="1:2" hidden="1" x14ac:dyDescent="0.3">
      <c r="A73" t="s">
        <v>21</v>
      </c>
    </row>
    <row r="74" spans="1:2" hidden="1" x14ac:dyDescent="0.3">
      <c r="A74" t="s">
        <v>76</v>
      </c>
      <c r="B74">
        <v>15.4455608593543</v>
      </c>
    </row>
    <row r="75" spans="1:2" hidden="1" x14ac:dyDescent="0.3">
      <c r="A75" t="s">
        <v>77</v>
      </c>
      <c r="B75">
        <v>15.4771526562293</v>
      </c>
    </row>
    <row r="76" spans="1:2" x14ac:dyDescent="0.3">
      <c r="A76" t="s">
        <v>78</v>
      </c>
      <c r="B76" t="s">
        <v>79</v>
      </c>
    </row>
    <row r="77" spans="1:2" hidden="1" x14ac:dyDescent="0.3">
      <c r="A77" t="s">
        <v>22</v>
      </c>
    </row>
    <row r="78" spans="1:2" hidden="1" x14ac:dyDescent="0.3">
      <c r="A78" t="s">
        <v>76</v>
      </c>
      <c r="B78">
        <v>15.4771526562293</v>
      </c>
    </row>
    <row r="79" spans="1:2" hidden="1" x14ac:dyDescent="0.3">
      <c r="A79" t="s">
        <v>77</v>
      </c>
      <c r="B79">
        <v>16.680204828690901</v>
      </c>
    </row>
    <row r="80" spans="1:2" x14ac:dyDescent="0.3">
      <c r="A80" t="s">
        <v>78</v>
      </c>
      <c r="B80" t="s">
        <v>89</v>
      </c>
    </row>
    <row r="81" spans="1:2" hidden="1" x14ac:dyDescent="0.3">
      <c r="A81" t="s">
        <v>23</v>
      </c>
    </row>
    <row r="82" spans="1:2" hidden="1" x14ac:dyDescent="0.3">
      <c r="A82" t="s">
        <v>76</v>
      </c>
      <c r="B82">
        <v>16.680204828690901</v>
      </c>
    </row>
    <row r="83" spans="1:2" hidden="1" x14ac:dyDescent="0.3">
      <c r="A83" t="s">
        <v>77</v>
      </c>
      <c r="B83">
        <v>17.3726604687293</v>
      </c>
    </row>
    <row r="84" spans="1:2" x14ac:dyDescent="0.3">
      <c r="A84" t="s">
        <v>78</v>
      </c>
      <c r="B84" t="s">
        <v>79</v>
      </c>
    </row>
    <row r="85" spans="1:2" hidden="1" x14ac:dyDescent="0.3">
      <c r="A85" t="s">
        <v>24</v>
      </c>
    </row>
    <row r="86" spans="1:2" hidden="1" x14ac:dyDescent="0.3">
      <c r="A86" t="s">
        <v>76</v>
      </c>
      <c r="B86">
        <v>17.3726604687293</v>
      </c>
    </row>
    <row r="87" spans="1:2" hidden="1" x14ac:dyDescent="0.3">
      <c r="A87" t="s">
        <v>77</v>
      </c>
      <c r="B87">
        <v>17.632402066914199</v>
      </c>
    </row>
    <row r="88" spans="1:2" x14ac:dyDescent="0.3">
      <c r="A88" t="s">
        <v>78</v>
      </c>
      <c r="B88" t="s">
        <v>90</v>
      </c>
    </row>
    <row r="89" spans="1:2" hidden="1" x14ac:dyDescent="0.3">
      <c r="A89" t="s">
        <v>25</v>
      </c>
    </row>
    <row r="90" spans="1:2" hidden="1" x14ac:dyDescent="0.3">
      <c r="A90" t="s">
        <v>76</v>
      </c>
      <c r="B90">
        <v>17.632402066914199</v>
      </c>
    </row>
    <row r="91" spans="1:2" hidden="1" x14ac:dyDescent="0.3">
      <c r="A91" t="s">
        <v>77</v>
      </c>
      <c r="B91">
        <v>18.6035200711455</v>
      </c>
    </row>
    <row r="92" spans="1:2" x14ac:dyDescent="0.3">
      <c r="A92" t="s">
        <v>78</v>
      </c>
      <c r="B92" t="s">
        <v>79</v>
      </c>
    </row>
    <row r="93" spans="1:2" hidden="1" x14ac:dyDescent="0.3">
      <c r="A93" t="s">
        <v>26</v>
      </c>
    </row>
    <row r="94" spans="1:2" hidden="1" x14ac:dyDescent="0.3">
      <c r="A94" t="s">
        <v>76</v>
      </c>
      <c r="B94">
        <v>18.6035200711455</v>
      </c>
    </row>
    <row r="95" spans="1:2" hidden="1" x14ac:dyDescent="0.3">
      <c r="A95" t="s">
        <v>77</v>
      </c>
      <c r="B95">
        <v>19.056335826353799</v>
      </c>
    </row>
    <row r="96" spans="1:2" x14ac:dyDescent="0.3">
      <c r="A96" t="s">
        <v>78</v>
      </c>
      <c r="B96" t="s">
        <v>91</v>
      </c>
    </row>
    <row r="97" spans="1:2" hidden="1" x14ac:dyDescent="0.3">
      <c r="A97" t="s">
        <v>27</v>
      </c>
    </row>
    <row r="98" spans="1:2" hidden="1" x14ac:dyDescent="0.3">
      <c r="A98" t="s">
        <v>76</v>
      </c>
      <c r="B98">
        <v>19.056335826353799</v>
      </c>
    </row>
    <row r="99" spans="1:2" hidden="1" x14ac:dyDescent="0.3">
      <c r="A99" t="s">
        <v>77</v>
      </c>
      <c r="B99">
        <v>20.106439050086198</v>
      </c>
    </row>
    <row r="100" spans="1:2" x14ac:dyDescent="0.3">
      <c r="A100" t="s">
        <v>78</v>
      </c>
      <c r="B100" t="s">
        <v>79</v>
      </c>
    </row>
    <row r="101" spans="1:2" hidden="1" x14ac:dyDescent="0.3">
      <c r="A101" t="s">
        <v>28</v>
      </c>
    </row>
    <row r="102" spans="1:2" hidden="1" x14ac:dyDescent="0.3">
      <c r="A102" t="s">
        <v>76</v>
      </c>
      <c r="B102">
        <v>20.106439050086198</v>
      </c>
    </row>
    <row r="103" spans="1:2" hidden="1" x14ac:dyDescent="0.3">
      <c r="A103" t="s">
        <v>77</v>
      </c>
      <c r="B103">
        <v>20.703172991058398</v>
      </c>
    </row>
    <row r="104" spans="1:2" x14ac:dyDescent="0.3">
      <c r="A104" t="s">
        <v>78</v>
      </c>
      <c r="B104" t="s">
        <v>92</v>
      </c>
    </row>
    <row r="105" spans="1:2" hidden="1" x14ac:dyDescent="0.3">
      <c r="A105" t="s">
        <v>29</v>
      </c>
    </row>
    <row r="106" spans="1:2" hidden="1" x14ac:dyDescent="0.3">
      <c r="A106" t="s">
        <v>76</v>
      </c>
      <c r="B106">
        <v>20.703172991058398</v>
      </c>
    </row>
    <row r="107" spans="1:2" hidden="1" x14ac:dyDescent="0.3">
      <c r="A107" t="s">
        <v>77</v>
      </c>
      <c r="B107">
        <v>20.957163943048599</v>
      </c>
    </row>
    <row r="108" spans="1:2" x14ac:dyDescent="0.3">
      <c r="A108" t="s">
        <v>78</v>
      </c>
      <c r="B108" t="s">
        <v>79</v>
      </c>
    </row>
    <row r="109" spans="1:2" hidden="1" x14ac:dyDescent="0.3">
      <c r="A109" t="s">
        <v>30</v>
      </c>
    </row>
    <row r="110" spans="1:2" hidden="1" x14ac:dyDescent="0.3">
      <c r="A110" t="s">
        <v>76</v>
      </c>
      <c r="B110">
        <v>20.957163943048599</v>
      </c>
    </row>
    <row r="111" spans="1:2" hidden="1" x14ac:dyDescent="0.3">
      <c r="A111" t="s">
        <v>77</v>
      </c>
      <c r="B111">
        <v>22.972498163145101</v>
      </c>
    </row>
    <row r="112" spans="1:2" x14ac:dyDescent="0.3">
      <c r="A112" t="s">
        <v>78</v>
      </c>
      <c r="B112" t="s">
        <v>93</v>
      </c>
    </row>
    <row r="113" spans="1:2" hidden="1" x14ac:dyDescent="0.3">
      <c r="A113" t="s">
        <v>31</v>
      </c>
    </row>
    <row r="114" spans="1:2" hidden="1" x14ac:dyDescent="0.3">
      <c r="A114" t="s">
        <v>76</v>
      </c>
      <c r="B114">
        <v>22.972498163145101</v>
      </c>
    </row>
    <row r="115" spans="1:2" hidden="1" x14ac:dyDescent="0.3">
      <c r="A115" t="s">
        <v>77</v>
      </c>
      <c r="B115">
        <v>24.645010736451901</v>
      </c>
    </row>
    <row r="116" spans="1:2" x14ac:dyDescent="0.3">
      <c r="A116" t="s">
        <v>78</v>
      </c>
      <c r="B116" t="s">
        <v>79</v>
      </c>
    </row>
    <row r="117" spans="1:2" hidden="1" x14ac:dyDescent="0.3">
      <c r="A117" t="s">
        <v>32</v>
      </c>
    </row>
    <row r="118" spans="1:2" hidden="1" x14ac:dyDescent="0.3">
      <c r="A118" t="s">
        <v>76</v>
      </c>
      <c r="B118">
        <v>24.645010736451901</v>
      </c>
    </row>
    <row r="119" spans="1:2" hidden="1" x14ac:dyDescent="0.3">
      <c r="A119" t="s">
        <v>77</v>
      </c>
      <c r="B119">
        <v>25.4009420686887</v>
      </c>
    </row>
    <row r="120" spans="1:2" x14ac:dyDescent="0.3">
      <c r="A120" t="s">
        <v>78</v>
      </c>
      <c r="B120" t="s">
        <v>93</v>
      </c>
    </row>
    <row r="121" spans="1:2" hidden="1" x14ac:dyDescent="0.3">
      <c r="A121" t="s">
        <v>33</v>
      </c>
    </row>
    <row r="122" spans="1:2" hidden="1" x14ac:dyDescent="0.3">
      <c r="A122" t="s">
        <v>76</v>
      </c>
      <c r="B122">
        <v>25.4009420686887</v>
      </c>
    </row>
    <row r="123" spans="1:2" hidden="1" x14ac:dyDescent="0.3">
      <c r="A123" t="s">
        <v>77</v>
      </c>
      <c r="B123">
        <v>25.779821609410501</v>
      </c>
    </row>
    <row r="124" spans="1:2" x14ac:dyDescent="0.3">
      <c r="A124" t="s">
        <v>78</v>
      </c>
      <c r="B124" t="s">
        <v>79</v>
      </c>
    </row>
    <row r="125" spans="1:2" hidden="1" x14ac:dyDescent="0.3">
      <c r="A125" t="s">
        <v>34</v>
      </c>
    </row>
    <row r="126" spans="1:2" hidden="1" x14ac:dyDescent="0.3">
      <c r="A126" t="s">
        <v>76</v>
      </c>
      <c r="B126">
        <v>25.779821609410501</v>
      </c>
    </row>
    <row r="127" spans="1:2" hidden="1" x14ac:dyDescent="0.3">
      <c r="A127" t="s">
        <v>77</v>
      </c>
      <c r="B127">
        <v>26.068733213802599</v>
      </c>
    </row>
    <row r="128" spans="1:2" x14ac:dyDescent="0.3">
      <c r="A128" t="s">
        <v>78</v>
      </c>
      <c r="B128" t="s">
        <v>94</v>
      </c>
    </row>
    <row r="129" spans="1:2" hidden="1" x14ac:dyDescent="0.3">
      <c r="A129" t="s">
        <v>35</v>
      </c>
    </row>
    <row r="130" spans="1:2" hidden="1" x14ac:dyDescent="0.3">
      <c r="A130" t="s">
        <v>76</v>
      </c>
      <c r="B130">
        <v>26.068733213802599</v>
      </c>
    </row>
    <row r="131" spans="1:2" hidden="1" x14ac:dyDescent="0.3">
      <c r="A131" t="s">
        <v>77</v>
      </c>
      <c r="B131">
        <v>27.781773962049702</v>
      </c>
    </row>
    <row r="132" spans="1:2" x14ac:dyDescent="0.3">
      <c r="A132" t="s">
        <v>78</v>
      </c>
      <c r="B132" t="s">
        <v>79</v>
      </c>
    </row>
    <row r="133" spans="1:2" hidden="1" x14ac:dyDescent="0.3">
      <c r="A133" t="s">
        <v>36</v>
      </c>
    </row>
    <row r="134" spans="1:2" hidden="1" x14ac:dyDescent="0.3">
      <c r="A134" t="s">
        <v>76</v>
      </c>
      <c r="B134">
        <v>27.781773962049702</v>
      </c>
    </row>
    <row r="135" spans="1:2" hidden="1" x14ac:dyDescent="0.3">
      <c r="A135" t="s">
        <v>77</v>
      </c>
      <c r="B135">
        <v>28.865141861357699</v>
      </c>
    </row>
    <row r="136" spans="1:2" x14ac:dyDescent="0.3">
      <c r="A136" t="s">
        <v>78</v>
      </c>
      <c r="B136" t="s">
        <v>85</v>
      </c>
    </row>
    <row r="137" spans="1:2" hidden="1" x14ac:dyDescent="0.3">
      <c r="A137" t="s">
        <v>37</v>
      </c>
    </row>
    <row r="138" spans="1:2" hidden="1" x14ac:dyDescent="0.3">
      <c r="A138" t="s">
        <v>76</v>
      </c>
      <c r="B138">
        <v>28.865141861357699</v>
      </c>
    </row>
    <row r="139" spans="1:2" hidden="1" x14ac:dyDescent="0.3">
      <c r="A139" t="s">
        <v>77</v>
      </c>
      <c r="B139">
        <v>30.113867032682101</v>
      </c>
    </row>
    <row r="140" spans="1:2" x14ac:dyDescent="0.3">
      <c r="A140" t="s">
        <v>78</v>
      </c>
      <c r="B140" t="s">
        <v>79</v>
      </c>
    </row>
    <row r="141" spans="1:2" hidden="1" x14ac:dyDescent="0.3">
      <c r="A141" t="s">
        <v>38</v>
      </c>
    </row>
    <row r="142" spans="1:2" hidden="1" x14ac:dyDescent="0.3">
      <c r="A142" t="s">
        <v>76</v>
      </c>
      <c r="B142">
        <v>30.113867032682101</v>
      </c>
    </row>
    <row r="143" spans="1:2" hidden="1" x14ac:dyDescent="0.3">
      <c r="A143" t="s">
        <v>77</v>
      </c>
      <c r="B143">
        <v>30.589993500093801</v>
      </c>
    </row>
    <row r="144" spans="1:2" x14ac:dyDescent="0.3">
      <c r="A144" t="s">
        <v>78</v>
      </c>
      <c r="B144" t="s">
        <v>90</v>
      </c>
    </row>
    <row r="145" spans="1:2" hidden="1" x14ac:dyDescent="0.3">
      <c r="A145" t="s">
        <v>39</v>
      </c>
    </row>
    <row r="146" spans="1:2" hidden="1" x14ac:dyDescent="0.3">
      <c r="A146" t="s">
        <v>76</v>
      </c>
      <c r="B146">
        <v>30.589993500093801</v>
      </c>
    </row>
    <row r="147" spans="1:2" hidden="1" x14ac:dyDescent="0.3">
      <c r="A147" t="s">
        <v>77</v>
      </c>
      <c r="B147">
        <v>32.133935254004697</v>
      </c>
    </row>
    <row r="148" spans="1:2" x14ac:dyDescent="0.3">
      <c r="A148" t="s">
        <v>78</v>
      </c>
      <c r="B148" t="s">
        <v>79</v>
      </c>
    </row>
    <row r="149" spans="1:2" hidden="1" x14ac:dyDescent="0.3">
      <c r="A149" t="s">
        <v>40</v>
      </c>
    </row>
    <row r="150" spans="1:2" hidden="1" x14ac:dyDescent="0.3">
      <c r="A150" t="s">
        <v>76</v>
      </c>
      <c r="B150">
        <v>32.133935254004697</v>
      </c>
    </row>
    <row r="151" spans="1:2" hidden="1" x14ac:dyDescent="0.3">
      <c r="A151" t="s">
        <v>77</v>
      </c>
      <c r="B151">
        <v>33.007511528675799</v>
      </c>
    </row>
    <row r="152" spans="1:2" x14ac:dyDescent="0.3">
      <c r="A152" t="s">
        <v>78</v>
      </c>
      <c r="B152" t="s">
        <v>93</v>
      </c>
    </row>
    <row r="153" spans="1:2" hidden="1" x14ac:dyDescent="0.3">
      <c r="A153" t="s">
        <v>41</v>
      </c>
    </row>
    <row r="154" spans="1:2" hidden="1" x14ac:dyDescent="0.3">
      <c r="A154" t="s">
        <v>76</v>
      </c>
      <c r="B154">
        <v>33.007511528675799</v>
      </c>
    </row>
    <row r="155" spans="1:2" hidden="1" x14ac:dyDescent="0.3">
      <c r="A155" t="s">
        <v>77</v>
      </c>
      <c r="B155">
        <v>34.1952579751066</v>
      </c>
    </row>
    <row r="156" spans="1:2" x14ac:dyDescent="0.3">
      <c r="A156" t="s">
        <v>78</v>
      </c>
      <c r="B156" t="s">
        <v>79</v>
      </c>
    </row>
    <row r="157" spans="1:2" hidden="1" x14ac:dyDescent="0.3">
      <c r="A157" t="s">
        <v>42</v>
      </c>
    </row>
    <row r="158" spans="1:2" hidden="1" x14ac:dyDescent="0.3">
      <c r="A158" t="s">
        <v>76</v>
      </c>
      <c r="B158">
        <v>34.1952579751066</v>
      </c>
    </row>
    <row r="159" spans="1:2" hidden="1" x14ac:dyDescent="0.3">
      <c r="A159" t="s">
        <v>77</v>
      </c>
      <c r="B159">
        <v>35.071337333659301</v>
      </c>
    </row>
    <row r="160" spans="1:2" x14ac:dyDescent="0.3">
      <c r="A160" t="s">
        <v>78</v>
      </c>
      <c r="B160" t="s">
        <v>95</v>
      </c>
    </row>
    <row r="161" spans="1:2" hidden="1" x14ac:dyDescent="0.3">
      <c r="A161" t="s">
        <v>43</v>
      </c>
    </row>
    <row r="162" spans="1:2" hidden="1" x14ac:dyDescent="0.3">
      <c r="A162" t="s">
        <v>76</v>
      </c>
      <c r="B162">
        <v>35.071337333659301</v>
      </c>
    </row>
    <row r="163" spans="1:2" hidden="1" x14ac:dyDescent="0.3">
      <c r="A163" t="s">
        <v>77</v>
      </c>
      <c r="B163">
        <v>35.466534656682299</v>
      </c>
    </row>
    <row r="164" spans="1:2" x14ac:dyDescent="0.3">
      <c r="A164" t="s">
        <v>78</v>
      </c>
      <c r="B164" t="s">
        <v>79</v>
      </c>
    </row>
    <row r="165" spans="1:2" hidden="1" x14ac:dyDescent="0.3">
      <c r="A165" t="s">
        <v>44</v>
      </c>
    </row>
    <row r="166" spans="1:2" hidden="1" x14ac:dyDescent="0.3">
      <c r="A166" t="s">
        <v>76</v>
      </c>
      <c r="B166">
        <v>35.466534656682299</v>
      </c>
    </row>
    <row r="167" spans="1:2" hidden="1" x14ac:dyDescent="0.3">
      <c r="A167" t="s">
        <v>77</v>
      </c>
      <c r="B167">
        <v>35.684167035154502</v>
      </c>
    </row>
    <row r="168" spans="1:2" x14ac:dyDescent="0.3">
      <c r="A168" t="s">
        <v>78</v>
      </c>
      <c r="B168" t="s">
        <v>90</v>
      </c>
    </row>
    <row r="169" spans="1:2" hidden="1" x14ac:dyDescent="0.3">
      <c r="A169" t="s">
        <v>45</v>
      </c>
    </row>
    <row r="170" spans="1:2" hidden="1" x14ac:dyDescent="0.3">
      <c r="A170" t="s">
        <v>76</v>
      </c>
      <c r="B170">
        <v>35.684167035154502</v>
      </c>
    </row>
    <row r="171" spans="1:2" hidden="1" x14ac:dyDescent="0.3">
      <c r="A171" t="s">
        <v>77</v>
      </c>
      <c r="B171">
        <v>35.835105620223999</v>
      </c>
    </row>
    <row r="172" spans="1:2" x14ac:dyDescent="0.3">
      <c r="A172" t="s">
        <v>78</v>
      </c>
      <c r="B172" t="s">
        <v>79</v>
      </c>
    </row>
    <row r="173" spans="1:2" hidden="1" x14ac:dyDescent="0.3">
      <c r="A173" t="s">
        <v>46</v>
      </c>
    </row>
    <row r="174" spans="1:2" hidden="1" x14ac:dyDescent="0.3">
      <c r="A174" t="s">
        <v>76</v>
      </c>
      <c r="B174">
        <v>35.835105620223999</v>
      </c>
    </row>
    <row r="175" spans="1:2" hidden="1" x14ac:dyDescent="0.3">
      <c r="A175" t="s">
        <v>77</v>
      </c>
      <c r="B175">
        <v>36.473961957029502</v>
      </c>
    </row>
    <row r="176" spans="1:2" x14ac:dyDescent="0.3">
      <c r="A176" t="s">
        <v>78</v>
      </c>
      <c r="B176" t="s">
        <v>96</v>
      </c>
    </row>
    <row r="177" spans="1:2" hidden="1" x14ac:dyDescent="0.3">
      <c r="A177" t="s">
        <v>47</v>
      </c>
    </row>
    <row r="178" spans="1:2" hidden="1" x14ac:dyDescent="0.3">
      <c r="A178" t="s">
        <v>76</v>
      </c>
      <c r="B178">
        <v>36.473961957029502</v>
      </c>
    </row>
    <row r="179" spans="1:2" hidden="1" x14ac:dyDescent="0.3">
      <c r="A179" t="s">
        <v>77</v>
      </c>
      <c r="B179">
        <v>36.659919897427798</v>
      </c>
    </row>
    <row r="180" spans="1:2" x14ac:dyDescent="0.3">
      <c r="A180" t="s">
        <v>78</v>
      </c>
      <c r="B180" t="s">
        <v>79</v>
      </c>
    </row>
    <row r="181" spans="1:2" hidden="1" x14ac:dyDescent="0.3">
      <c r="A181" t="s">
        <v>48</v>
      </c>
    </row>
    <row r="182" spans="1:2" hidden="1" x14ac:dyDescent="0.3">
      <c r="A182" t="s">
        <v>76</v>
      </c>
      <c r="B182">
        <v>36.659919897427798</v>
      </c>
    </row>
    <row r="183" spans="1:2" hidden="1" x14ac:dyDescent="0.3">
      <c r="A183" t="s">
        <v>77</v>
      </c>
      <c r="B183">
        <v>37.5334961720989</v>
      </c>
    </row>
    <row r="184" spans="1:2" x14ac:dyDescent="0.3">
      <c r="A184" t="s">
        <v>78</v>
      </c>
      <c r="B184" t="s">
        <v>93</v>
      </c>
    </row>
    <row r="185" spans="1:2" hidden="1" x14ac:dyDescent="0.3">
      <c r="A185" t="s">
        <v>49</v>
      </c>
    </row>
    <row r="186" spans="1:2" hidden="1" x14ac:dyDescent="0.3">
      <c r="A186" t="s">
        <v>76</v>
      </c>
      <c r="B186">
        <v>37.5334961720989</v>
      </c>
    </row>
    <row r="187" spans="1:2" hidden="1" x14ac:dyDescent="0.3">
      <c r="A187" t="s">
        <v>77</v>
      </c>
      <c r="B187">
        <v>37.829516448859302</v>
      </c>
    </row>
    <row r="188" spans="1:2" x14ac:dyDescent="0.3">
      <c r="A188" t="s">
        <v>78</v>
      </c>
      <c r="B188" t="s">
        <v>79</v>
      </c>
    </row>
    <row r="189" spans="1:2" hidden="1" x14ac:dyDescent="0.3">
      <c r="A189" t="s">
        <v>50</v>
      </c>
    </row>
    <row r="190" spans="1:2" hidden="1" x14ac:dyDescent="0.3">
      <c r="A190" t="s">
        <v>76</v>
      </c>
      <c r="B190">
        <v>37.829516448859302</v>
      </c>
    </row>
    <row r="191" spans="1:2" hidden="1" x14ac:dyDescent="0.3">
      <c r="A191" t="s">
        <v>77</v>
      </c>
      <c r="B191">
        <v>38.699982064442402</v>
      </c>
    </row>
    <row r="192" spans="1:2" x14ac:dyDescent="0.3">
      <c r="A192" t="s">
        <v>78</v>
      </c>
      <c r="B192" t="s">
        <v>96</v>
      </c>
    </row>
    <row r="193" spans="1:2" hidden="1" x14ac:dyDescent="0.3">
      <c r="A193" t="s">
        <v>51</v>
      </c>
    </row>
    <row r="194" spans="1:2" hidden="1" x14ac:dyDescent="0.3">
      <c r="A194" t="s">
        <v>76</v>
      </c>
      <c r="B194">
        <v>38.699982064442402</v>
      </c>
    </row>
    <row r="195" spans="1:2" hidden="1" x14ac:dyDescent="0.3">
      <c r="A195" t="s">
        <v>77</v>
      </c>
      <c r="B195">
        <v>40.701626157853497</v>
      </c>
    </row>
    <row r="196" spans="1:2" x14ac:dyDescent="0.3">
      <c r="A196" t="s">
        <v>78</v>
      </c>
      <c r="B196" t="s">
        <v>79</v>
      </c>
    </row>
    <row r="197" spans="1:2" hidden="1" x14ac:dyDescent="0.3">
      <c r="A197" t="s">
        <v>52</v>
      </c>
    </row>
    <row r="198" spans="1:2" hidden="1" x14ac:dyDescent="0.3">
      <c r="A198" t="s">
        <v>76</v>
      </c>
      <c r="B198">
        <v>40.701626157853497</v>
      </c>
    </row>
    <row r="199" spans="1:2" hidden="1" x14ac:dyDescent="0.3">
      <c r="A199" t="s">
        <v>77</v>
      </c>
      <c r="B199">
        <v>41.544074074520204</v>
      </c>
    </row>
    <row r="200" spans="1:2" x14ac:dyDescent="0.3">
      <c r="A200" t="s">
        <v>78</v>
      </c>
      <c r="B200" t="s">
        <v>97</v>
      </c>
    </row>
    <row r="201" spans="1:2" hidden="1" x14ac:dyDescent="0.3">
      <c r="A201" t="s">
        <v>53</v>
      </c>
    </row>
    <row r="202" spans="1:2" hidden="1" x14ac:dyDescent="0.3">
      <c r="A202" t="s">
        <v>76</v>
      </c>
      <c r="B202">
        <v>41.544074074520204</v>
      </c>
    </row>
    <row r="203" spans="1:2" hidden="1" x14ac:dyDescent="0.3">
      <c r="A203" t="s">
        <v>77</v>
      </c>
      <c r="B203">
        <v>41.6239442425112</v>
      </c>
    </row>
    <row r="204" spans="1:2" x14ac:dyDescent="0.3">
      <c r="A204" t="s">
        <v>78</v>
      </c>
      <c r="B204" t="s">
        <v>79</v>
      </c>
    </row>
    <row r="205" spans="1:2" hidden="1" x14ac:dyDescent="0.3">
      <c r="A205" t="s">
        <v>54</v>
      </c>
    </row>
    <row r="206" spans="1:2" hidden="1" x14ac:dyDescent="0.3">
      <c r="A206" t="s">
        <v>76</v>
      </c>
      <c r="B206">
        <v>41.6239442425112</v>
      </c>
    </row>
    <row r="207" spans="1:2" hidden="1" x14ac:dyDescent="0.3">
      <c r="A207" t="s">
        <v>77</v>
      </c>
      <c r="B207">
        <v>42.246114005075697</v>
      </c>
    </row>
    <row r="208" spans="1:2" x14ac:dyDescent="0.3">
      <c r="A208" t="s">
        <v>78</v>
      </c>
      <c r="B208" t="s">
        <v>98</v>
      </c>
    </row>
    <row r="209" spans="1:2" hidden="1" x14ac:dyDescent="0.3">
      <c r="A209" t="s">
        <v>55</v>
      </c>
    </row>
    <row r="210" spans="1:2" hidden="1" x14ac:dyDescent="0.3">
      <c r="A210" t="s">
        <v>76</v>
      </c>
      <c r="B210">
        <v>42.246114005075697</v>
      </c>
    </row>
    <row r="211" spans="1:2" hidden="1" x14ac:dyDescent="0.3">
      <c r="A211" t="s">
        <v>77</v>
      </c>
      <c r="B211">
        <v>42.311925152926101</v>
      </c>
    </row>
    <row r="212" spans="1:2" x14ac:dyDescent="0.3">
      <c r="A212" t="s">
        <v>78</v>
      </c>
      <c r="B212" t="s">
        <v>79</v>
      </c>
    </row>
    <row r="213" spans="1:2" hidden="1" x14ac:dyDescent="0.3">
      <c r="A213" t="s">
        <v>56</v>
      </c>
    </row>
    <row r="214" spans="1:2" hidden="1" x14ac:dyDescent="0.3">
      <c r="A214" t="s">
        <v>76</v>
      </c>
      <c r="B214">
        <v>42.311925152926101</v>
      </c>
    </row>
    <row r="215" spans="1:2" hidden="1" x14ac:dyDescent="0.3">
      <c r="A215" t="s">
        <v>77</v>
      </c>
      <c r="B215">
        <v>42.7097371230183</v>
      </c>
    </row>
    <row r="216" spans="1:2" x14ac:dyDescent="0.3">
      <c r="A216" t="s">
        <v>78</v>
      </c>
      <c r="B216" t="s">
        <v>91</v>
      </c>
    </row>
    <row r="217" spans="1:2" hidden="1" x14ac:dyDescent="0.3">
      <c r="A217" t="s">
        <v>57</v>
      </c>
    </row>
    <row r="218" spans="1:2" hidden="1" x14ac:dyDescent="0.3">
      <c r="A218" t="s">
        <v>76</v>
      </c>
      <c r="B218">
        <v>42.7097371230183</v>
      </c>
    </row>
    <row r="219" spans="1:2" hidden="1" x14ac:dyDescent="0.3">
      <c r="A219" t="s">
        <v>77</v>
      </c>
      <c r="B219">
        <v>42.820051180886701</v>
      </c>
    </row>
    <row r="220" spans="1:2" x14ac:dyDescent="0.3">
      <c r="A220" t="s">
        <v>78</v>
      </c>
      <c r="B220" t="s">
        <v>79</v>
      </c>
    </row>
    <row r="221" spans="1:2" hidden="1" x14ac:dyDescent="0.3">
      <c r="A221" t="s">
        <v>58</v>
      </c>
    </row>
    <row r="222" spans="1:2" hidden="1" x14ac:dyDescent="0.3">
      <c r="A222" t="s">
        <v>76</v>
      </c>
      <c r="B222">
        <v>42.820051180886701</v>
      </c>
    </row>
    <row r="223" spans="1:2" hidden="1" x14ac:dyDescent="0.3">
      <c r="A223" t="s">
        <v>77</v>
      </c>
      <c r="B223">
        <v>43.510339407627498</v>
      </c>
    </row>
    <row r="224" spans="1:2" x14ac:dyDescent="0.3">
      <c r="A224" t="s">
        <v>78</v>
      </c>
      <c r="B224" t="s">
        <v>99</v>
      </c>
    </row>
    <row r="225" spans="1:2" hidden="1" x14ac:dyDescent="0.3">
      <c r="A225" t="s">
        <v>59</v>
      </c>
    </row>
    <row r="226" spans="1:2" hidden="1" x14ac:dyDescent="0.3">
      <c r="A226" t="s">
        <v>76</v>
      </c>
      <c r="B226">
        <v>43.510339407627498</v>
      </c>
    </row>
    <row r="227" spans="1:2" hidden="1" x14ac:dyDescent="0.3">
      <c r="A227" t="s">
        <v>77</v>
      </c>
      <c r="B227">
        <v>43.759234679563498</v>
      </c>
    </row>
    <row r="228" spans="1:2" x14ac:dyDescent="0.3">
      <c r="A228" t="s">
        <v>78</v>
      </c>
      <c r="B228" t="s">
        <v>79</v>
      </c>
    </row>
    <row r="229" spans="1:2" hidden="1" x14ac:dyDescent="0.3">
      <c r="A229" t="s">
        <v>60</v>
      </c>
    </row>
    <row r="230" spans="1:2" hidden="1" x14ac:dyDescent="0.3">
      <c r="A230" t="s">
        <v>76</v>
      </c>
      <c r="B230">
        <v>43.759234679563498</v>
      </c>
    </row>
    <row r="231" spans="1:2" hidden="1" x14ac:dyDescent="0.3">
      <c r="A231" t="s">
        <v>77</v>
      </c>
      <c r="B231">
        <v>44.768072562358199</v>
      </c>
    </row>
    <row r="232" spans="1:2" x14ac:dyDescent="0.3">
      <c r="A232" t="s">
        <v>78</v>
      </c>
      <c r="B232" t="s">
        <v>91</v>
      </c>
    </row>
    <row r="233" spans="1:2" hidden="1" x14ac:dyDescent="0.3">
      <c r="A233" t="s">
        <v>3</v>
      </c>
    </row>
    <row r="234" spans="1:2" hidden="1" x14ac:dyDescent="0.3">
      <c r="A234" t="s">
        <v>76</v>
      </c>
      <c r="B234">
        <v>0</v>
      </c>
    </row>
    <row r="235" spans="1:2" hidden="1" x14ac:dyDescent="0.3">
      <c r="A235" t="s">
        <v>77</v>
      </c>
      <c r="B235">
        <v>18.0524187256594</v>
      </c>
    </row>
    <row r="236" spans="1:2" x14ac:dyDescent="0.3">
      <c r="A236" t="s">
        <v>78</v>
      </c>
      <c r="B236" t="s">
        <v>79</v>
      </c>
    </row>
    <row r="237" spans="1:2" hidden="1" x14ac:dyDescent="0.3">
      <c r="A237" t="s">
        <v>4</v>
      </c>
    </row>
    <row r="238" spans="1:2" hidden="1" x14ac:dyDescent="0.3">
      <c r="A238" t="s">
        <v>76</v>
      </c>
      <c r="B238">
        <v>18.0524187256594</v>
      </c>
    </row>
    <row r="239" spans="1:2" hidden="1" x14ac:dyDescent="0.3">
      <c r="A239" t="s">
        <v>77</v>
      </c>
      <c r="B239">
        <v>19.737314558992701</v>
      </c>
    </row>
    <row r="240" spans="1:2" x14ac:dyDescent="0.3">
      <c r="A240" t="s">
        <v>78</v>
      </c>
      <c r="B240" t="s">
        <v>100</v>
      </c>
    </row>
    <row r="241" spans="1:2" hidden="1" x14ac:dyDescent="0.3">
      <c r="A241" t="s">
        <v>5</v>
      </c>
    </row>
    <row r="242" spans="1:2" hidden="1" x14ac:dyDescent="0.3">
      <c r="A242" t="s">
        <v>76</v>
      </c>
      <c r="B242">
        <v>19.737314558992701</v>
      </c>
    </row>
    <row r="243" spans="1:2" hidden="1" x14ac:dyDescent="0.3">
      <c r="A243" t="s">
        <v>77</v>
      </c>
      <c r="B243">
        <v>26.337244583805901</v>
      </c>
    </row>
    <row r="244" spans="1:2" x14ac:dyDescent="0.3">
      <c r="A244" t="s">
        <v>78</v>
      </c>
      <c r="B244" t="s">
        <v>79</v>
      </c>
    </row>
    <row r="245" spans="1:2" hidden="1" x14ac:dyDescent="0.3">
      <c r="A245" t="s">
        <v>6</v>
      </c>
    </row>
    <row r="246" spans="1:2" hidden="1" x14ac:dyDescent="0.3">
      <c r="A246" t="s">
        <v>76</v>
      </c>
      <c r="B246">
        <v>26.337244583805901</v>
      </c>
    </row>
    <row r="247" spans="1:2" hidden="1" x14ac:dyDescent="0.3">
      <c r="A247" t="s">
        <v>77</v>
      </c>
      <c r="B247">
        <v>27.085485046562098</v>
      </c>
    </row>
    <row r="248" spans="1:2" x14ac:dyDescent="0.3">
      <c r="A248" t="s">
        <v>78</v>
      </c>
      <c r="B248" t="s">
        <v>101</v>
      </c>
    </row>
    <row r="249" spans="1:2" hidden="1" x14ac:dyDescent="0.3">
      <c r="A249" t="s">
        <v>7</v>
      </c>
    </row>
    <row r="250" spans="1:2" hidden="1" x14ac:dyDescent="0.3">
      <c r="A250" t="s">
        <v>76</v>
      </c>
      <c r="B250">
        <v>27.085485046562098</v>
      </c>
    </row>
    <row r="251" spans="1:2" hidden="1" x14ac:dyDescent="0.3">
      <c r="A251" t="s">
        <v>77</v>
      </c>
      <c r="B251">
        <v>30.321712125498198</v>
      </c>
    </row>
    <row r="252" spans="1:2" x14ac:dyDescent="0.3">
      <c r="A252" t="s">
        <v>78</v>
      </c>
      <c r="B252" t="s">
        <v>79</v>
      </c>
    </row>
    <row r="253" spans="1:2" hidden="1" x14ac:dyDescent="0.3">
      <c r="A253" t="s">
        <v>8</v>
      </c>
    </row>
    <row r="254" spans="1:2" hidden="1" x14ac:dyDescent="0.3">
      <c r="A254" t="s">
        <v>76</v>
      </c>
      <c r="B254">
        <v>30.321712125498198</v>
      </c>
    </row>
    <row r="255" spans="1:2" hidden="1" x14ac:dyDescent="0.3">
      <c r="A255" t="s">
        <v>77</v>
      </c>
      <c r="B255">
        <v>31.7949380957184</v>
      </c>
    </row>
    <row r="256" spans="1:2" x14ac:dyDescent="0.3">
      <c r="A256" t="s">
        <v>78</v>
      </c>
      <c r="B256" t="s">
        <v>102</v>
      </c>
    </row>
    <row r="257" spans="1:2" hidden="1" x14ac:dyDescent="0.3">
      <c r="A257" t="s">
        <v>9</v>
      </c>
    </row>
    <row r="258" spans="1:2" hidden="1" x14ac:dyDescent="0.3">
      <c r="A258" t="s">
        <v>76</v>
      </c>
      <c r="B258">
        <v>31.7949380957184</v>
      </c>
    </row>
    <row r="259" spans="1:2" hidden="1" x14ac:dyDescent="0.3">
      <c r="A259" t="s">
        <v>77</v>
      </c>
      <c r="B259">
        <v>39.1899738556492</v>
      </c>
    </row>
    <row r="260" spans="1:2" x14ac:dyDescent="0.3">
      <c r="A260" t="s">
        <v>78</v>
      </c>
      <c r="B260" t="s">
        <v>79</v>
      </c>
    </row>
    <row r="261" spans="1:2" hidden="1" x14ac:dyDescent="0.3">
      <c r="A261" t="s">
        <v>10</v>
      </c>
    </row>
    <row r="262" spans="1:2" hidden="1" x14ac:dyDescent="0.3">
      <c r="A262" t="s">
        <v>76</v>
      </c>
      <c r="B262">
        <v>39.1899738556492</v>
      </c>
    </row>
    <row r="263" spans="1:2" hidden="1" x14ac:dyDescent="0.3">
      <c r="A263" t="s">
        <v>77</v>
      </c>
      <c r="B263">
        <v>40.040563761159298</v>
      </c>
    </row>
    <row r="264" spans="1:2" x14ac:dyDescent="0.3">
      <c r="A264" t="s">
        <v>78</v>
      </c>
      <c r="B264" t="s">
        <v>103</v>
      </c>
    </row>
    <row r="265" spans="1:2" hidden="1" x14ac:dyDescent="0.3">
      <c r="A265" t="s">
        <v>11</v>
      </c>
    </row>
    <row r="266" spans="1:2" hidden="1" x14ac:dyDescent="0.3">
      <c r="A266" t="s">
        <v>76</v>
      </c>
      <c r="B266">
        <v>40.040563761159298</v>
      </c>
    </row>
    <row r="267" spans="1:2" hidden="1" x14ac:dyDescent="0.3">
      <c r="A267" t="s">
        <v>77</v>
      </c>
      <c r="B267">
        <v>44.768072562358199</v>
      </c>
    </row>
    <row r="268" spans="1:2" x14ac:dyDescent="0.3">
      <c r="A268" t="s">
        <v>78</v>
      </c>
      <c r="B268" t="s">
        <v>79</v>
      </c>
    </row>
    <row r="269" spans="1:2" hidden="1" x14ac:dyDescent="0.3">
      <c r="A269" t="s">
        <v>61</v>
      </c>
    </row>
    <row r="270" spans="1:2" hidden="1" x14ac:dyDescent="0.3">
      <c r="A270" t="s">
        <v>69</v>
      </c>
      <c r="B270" t="s">
        <v>70</v>
      </c>
    </row>
    <row r="271" spans="1:2" hidden="1" x14ac:dyDescent="0.3">
      <c r="A271" t="s">
        <v>71</v>
      </c>
      <c r="B271" t="s">
        <v>104</v>
      </c>
    </row>
    <row r="272" spans="1:2" hidden="1" x14ac:dyDescent="0.3">
      <c r="A272" t="s">
        <v>73</v>
      </c>
      <c r="B272">
        <v>0</v>
      </c>
    </row>
    <row r="273" spans="1:2" hidden="1" x14ac:dyDescent="0.3">
      <c r="A273" t="s">
        <v>74</v>
      </c>
      <c r="B273">
        <v>44.768072562358199</v>
      </c>
    </row>
    <row r="274" spans="1:2" hidden="1" x14ac:dyDescent="0.3">
      <c r="A274" t="s">
        <v>75</v>
      </c>
      <c r="B274">
        <v>48</v>
      </c>
    </row>
    <row r="275" spans="1:2" hidden="1" x14ac:dyDescent="0.3">
      <c r="A275" t="s">
        <v>3</v>
      </c>
    </row>
    <row r="276" spans="1:2" hidden="1" x14ac:dyDescent="0.3">
      <c r="A276" t="s">
        <v>76</v>
      </c>
      <c r="B276">
        <v>0</v>
      </c>
    </row>
    <row r="277" spans="1:2" hidden="1" x14ac:dyDescent="0.3">
      <c r="A277" t="s">
        <v>77</v>
      </c>
      <c r="B277">
        <v>8.7520362811791301</v>
      </c>
    </row>
    <row r="278" spans="1:2" x14ac:dyDescent="0.3">
      <c r="A278" t="s">
        <v>78</v>
      </c>
      <c r="B278" t="s">
        <v>105</v>
      </c>
    </row>
    <row r="279" spans="1:2" hidden="1" x14ac:dyDescent="0.3">
      <c r="A279" t="s">
        <v>4</v>
      </c>
    </row>
    <row r="280" spans="1:2" hidden="1" x14ac:dyDescent="0.3">
      <c r="A280" t="s">
        <v>76</v>
      </c>
      <c r="B280">
        <v>8.7520362811791301</v>
      </c>
    </row>
    <row r="281" spans="1:2" hidden="1" x14ac:dyDescent="0.3">
      <c r="A281" t="s">
        <v>77</v>
      </c>
      <c r="B281">
        <v>8.8720362811791293</v>
      </c>
    </row>
    <row r="282" spans="1:2" x14ac:dyDescent="0.3">
      <c r="A282" t="s">
        <v>78</v>
      </c>
      <c r="B282" t="s">
        <v>106</v>
      </c>
    </row>
    <row r="283" spans="1:2" hidden="1" x14ac:dyDescent="0.3">
      <c r="A283" t="s">
        <v>5</v>
      </c>
    </row>
    <row r="284" spans="1:2" hidden="1" x14ac:dyDescent="0.3">
      <c r="A284" t="s">
        <v>76</v>
      </c>
      <c r="B284">
        <v>8.8720362811791293</v>
      </c>
    </row>
    <row r="285" spans="1:2" hidden="1" x14ac:dyDescent="0.3">
      <c r="A285" t="s">
        <v>77</v>
      </c>
      <c r="B285">
        <v>10.4160362811791</v>
      </c>
    </row>
    <row r="286" spans="1:2" x14ac:dyDescent="0.3">
      <c r="A286" t="s">
        <v>78</v>
      </c>
      <c r="B286" t="s">
        <v>105</v>
      </c>
    </row>
    <row r="287" spans="1:2" hidden="1" x14ac:dyDescent="0.3">
      <c r="A287" t="s">
        <v>6</v>
      </c>
    </row>
    <row r="288" spans="1:2" hidden="1" x14ac:dyDescent="0.3">
      <c r="A288" t="s">
        <v>76</v>
      </c>
      <c r="B288">
        <v>10.4160362811791</v>
      </c>
    </row>
    <row r="289" spans="1:2" hidden="1" x14ac:dyDescent="0.3">
      <c r="A289" t="s">
        <v>77</v>
      </c>
      <c r="B289">
        <v>10.5440362811791</v>
      </c>
    </row>
    <row r="290" spans="1:2" x14ac:dyDescent="0.3">
      <c r="A290" t="s">
        <v>78</v>
      </c>
      <c r="B290" t="s">
        <v>106</v>
      </c>
    </row>
    <row r="291" spans="1:2" hidden="1" x14ac:dyDescent="0.3">
      <c r="A291" t="s">
        <v>7</v>
      </c>
    </row>
    <row r="292" spans="1:2" hidden="1" x14ac:dyDescent="0.3">
      <c r="A292" t="s">
        <v>76</v>
      </c>
      <c r="B292">
        <v>10.5440362811791</v>
      </c>
    </row>
    <row r="293" spans="1:2" hidden="1" x14ac:dyDescent="0.3">
      <c r="A293" t="s">
        <v>77</v>
      </c>
      <c r="B293">
        <v>15.8320362811791</v>
      </c>
    </row>
    <row r="294" spans="1:2" x14ac:dyDescent="0.3">
      <c r="A294" t="s">
        <v>78</v>
      </c>
      <c r="B294" t="s">
        <v>105</v>
      </c>
    </row>
    <row r="295" spans="1:2" hidden="1" x14ac:dyDescent="0.3">
      <c r="A295" t="s">
        <v>8</v>
      </c>
    </row>
    <row r="296" spans="1:2" hidden="1" x14ac:dyDescent="0.3">
      <c r="A296" t="s">
        <v>76</v>
      </c>
      <c r="B296">
        <v>15.8320362811791</v>
      </c>
    </row>
    <row r="297" spans="1:2" hidden="1" x14ac:dyDescent="0.3">
      <c r="A297" t="s">
        <v>77</v>
      </c>
      <c r="B297">
        <v>16.1520362811791</v>
      </c>
    </row>
    <row r="298" spans="1:2" x14ac:dyDescent="0.3">
      <c r="A298" t="s">
        <v>78</v>
      </c>
      <c r="B298" t="s">
        <v>106</v>
      </c>
    </row>
    <row r="299" spans="1:2" hidden="1" x14ac:dyDescent="0.3">
      <c r="A299" t="s">
        <v>9</v>
      </c>
    </row>
    <row r="300" spans="1:2" hidden="1" x14ac:dyDescent="0.3">
      <c r="A300" t="s">
        <v>76</v>
      </c>
      <c r="B300">
        <v>16.1520362811791</v>
      </c>
    </row>
    <row r="301" spans="1:2" hidden="1" x14ac:dyDescent="0.3">
      <c r="A301" t="s">
        <v>77</v>
      </c>
      <c r="B301">
        <v>17.4160362811791</v>
      </c>
    </row>
    <row r="302" spans="1:2" x14ac:dyDescent="0.3">
      <c r="A302" t="s">
        <v>78</v>
      </c>
      <c r="B302" t="s">
        <v>105</v>
      </c>
    </row>
    <row r="303" spans="1:2" hidden="1" x14ac:dyDescent="0.3">
      <c r="A303" t="s">
        <v>10</v>
      </c>
    </row>
    <row r="304" spans="1:2" hidden="1" x14ac:dyDescent="0.3">
      <c r="A304" t="s">
        <v>76</v>
      </c>
      <c r="B304">
        <v>17.4160362811791</v>
      </c>
    </row>
    <row r="305" spans="1:2" hidden="1" x14ac:dyDescent="0.3">
      <c r="A305" t="s">
        <v>77</v>
      </c>
      <c r="B305">
        <v>17.5440362811791</v>
      </c>
    </row>
    <row r="306" spans="1:2" x14ac:dyDescent="0.3">
      <c r="A306" t="s">
        <v>78</v>
      </c>
      <c r="B306" t="s">
        <v>106</v>
      </c>
    </row>
    <row r="307" spans="1:2" hidden="1" x14ac:dyDescent="0.3">
      <c r="A307" t="s">
        <v>11</v>
      </c>
    </row>
    <row r="308" spans="1:2" hidden="1" x14ac:dyDescent="0.3">
      <c r="A308" t="s">
        <v>76</v>
      </c>
      <c r="B308">
        <v>17.5440362811791</v>
      </c>
    </row>
    <row r="309" spans="1:2" hidden="1" x14ac:dyDescent="0.3">
      <c r="A309" t="s">
        <v>77</v>
      </c>
      <c r="B309">
        <v>18.336036281179101</v>
      </c>
    </row>
    <row r="310" spans="1:2" x14ac:dyDescent="0.3">
      <c r="A310" t="s">
        <v>78</v>
      </c>
      <c r="B310" t="s">
        <v>105</v>
      </c>
    </row>
    <row r="311" spans="1:2" hidden="1" x14ac:dyDescent="0.3">
      <c r="A311" t="s">
        <v>12</v>
      </c>
    </row>
    <row r="312" spans="1:2" hidden="1" x14ac:dyDescent="0.3">
      <c r="A312" t="s">
        <v>76</v>
      </c>
      <c r="B312">
        <v>18.336036281179101</v>
      </c>
    </row>
    <row r="313" spans="1:2" hidden="1" x14ac:dyDescent="0.3">
      <c r="A313" t="s">
        <v>77</v>
      </c>
      <c r="B313">
        <v>18.488036281179099</v>
      </c>
    </row>
    <row r="314" spans="1:2" x14ac:dyDescent="0.3">
      <c r="A314" t="s">
        <v>78</v>
      </c>
      <c r="B314" t="s">
        <v>106</v>
      </c>
    </row>
    <row r="315" spans="1:2" hidden="1" x14ac:dyDescent="0.3">
      <c r="A315" t="s">
        <v>13</v>
      </c>
    </row>
    <row r="316" spans="1:2" hidden="1" x14ac:dyDescent="0.3">
      <c r="A316" t="s">
        <v>76</v>
      </c>
      <c r="B316">
        <v>18.488036281179099</v>
      </c>
    </row>
    <row r="317" spans="1:2" hidden="1" x14ac:dyDescent="0.3">
      <c r="A317" t="s">
        <v>77</v>
      </c>
      <c r="B317">
        <v>18.680036281179099</v>
      </c>
    </row>
    <row r="318" spans="1:2" x14ac:dyDescent="0.3">
      <c r="A318" t="s">
        <v>78</v>
      </c>
      <c r="B318" t="s">
        <v>105</v>
      </c>
    </row>
    <row r="319" spans="1:2" hidden="1" x14ac:dyDescent="0.3">
      <c r="A319" t="s">
        <v>14</v>
      </c>
    </row>
    <row r="320" spans="1:2" hidden="1" x14ac:dyDescent="0.3">
      <c r="A320" t="s">
        <v>76</v>
      </c>
      <c r="B320">
        <v>18.680036281179099</v>
      </c>
    </row>
    <row r="321" spans="1:2" hidden="1" x14ac:dyDescent="0.3">
      <c r="A321" t="s">
        <v>77</v>
      </c>
      <c r="B321">
        <v>19.0560362811791</v>
      </c>
    </row>
    <row r="322" spans="1:2" x14ac:dyDescent="0.3">
      <c r="A322" t="s">
        <v>78</v>
      </c>
      <c r="B322" t="s">
        <v>106</v>
      </c>
    </row>
    <row r="323" spans="1:2" hidden="1" x14ac:dyDescent="0.3">
      <c r="A323" t="s">
        <v>15</v>
      </c>
    </row>
    <row r="324" spans="1:2" hidden="1" x14ac:dyDescent="0.3">
      <c r="A324" t="s">
        <v>76</v>
      </c>
      <c r="B324">
        <v>19.0560362811791</v>
      </c>
    </row>
    <row r="325" spans="1:2" hidden="1" x14ac:dyDescent="0.3">
      <c r="A325" t="s">
        <v>77</v>
      </c>
      <c r="B325">
        <v>20.4800362811791</v>
      </c>
    </row>
    <row r="326" spans="1:2" x14ac:dyDescent="0.3">
      <c r="A326" t="s">
        <v>78</v>
      </c>
      <c r="B326" t="s">
        <v>105</v>
      </c>
    </row>
    <row r="327" spans="1:2" hidden="1" x14ac:dyDescent="0.3">
      <c r="A327" t="s">
        <v>16</v>
      </c>
    </row>
    <row r="328" spans="1:2" hidden="1" x14ac:dyDescent="0.3">
      <c r="A328" t="s">
        <v>76</v>
      </c>
      <c r="B328">
        <v>20.4800362811791</v>
      </c>
    </row>
    <row r="329" spans="1:2" hidden="1" x14ac:dyDescent="0.3">
      <c r="A329" t="s">
        <v>77</v>
      </c>
      <c r="B329">
        <v>20.624036281179102</v>
      </c>
    </row>
    <row r="330" spans="1:2" x14ac:dyDescent="0.3">
      <c r="A330" t="s">
        <v>78</v>
      </c>
      <c r="B330" t="s">
        <v>106</v>
      </c>
    </row>
    <row r="331" spans="1:2" hidden="1" x14ac:dyDescent="0.3">
      <c r="A331" t="s">
        <v>17</v>
      </c>
    </row>
    <row r="332" spans="1:2" hidden="1" x14ac:dyDescent="0.3">
      <c r="A332" t="s">
        <v>76</v>
      </c>
      <c r="B332">
        <v>20.624036281179102</v>
      </c>
    </row>
    <row r="333" spans="1:2" hidden="1" x14ac:dyDescent="0.3">
      <c r="A333" t="s">
        <v>77</v>
      </c>
      <c r="B333">
        <v>21.016036281179101</v>
      </c>
    </row>
    <row r="334" spans="1:2" x14ac:dyDescent="0.3">
      <c r="A334" t="s">
        <v>78</v>
      </c>
      <c r="B334" t="s">
        <v>105</v>
      </c>
    </row>
    <row r="335" spans="1:2" hidden="1" x14ac:dyDescent="0.3">
      <c r="A335" t="s">
        <v>18</v>
      </c>
    </row>
    <row r="336" spans="1:2" hidden="1" x14ac:dyDescent="0.3">
      <c r="A336" t="s">
        <v>76</v>
      </c>
      <c r="B336">
        <v>21.016036281179101</v>
      </c>
    </row>
    <row r="337" spans="1:2" hidden="1" x14ac:dyDescent="0.3">
      <c r="A337" t="s">
        <v>77</v>
      </c>
      <c r="B337">
        <v>21.664036281179101</v>
      </c>
    </row>
    <row r="338" spans="1:2" x14ac:dyDescent="0.3">
      <c r="A338" t="s">
        <v>78</v>
      </c>
      <c r="B338" t="s">
        <v>106</v>
      </c>
    </row>
    <row r="339" spans="1:2" hidden="1" x14ac:dyDescent="0.3">
      <c r="A339" t="s">
        <v>19</v>
      </c>
    </row>
    <row r="340" spans="1:2" hidden="1" x14ac:dyDescent="0.3">
      <c r="A340" t="s">
        <v>76</v>
      </c>
      <c r="B340">
        <v>21.664036281179101</v>
      </c>
    </row>
    <row r="341" spans="1:2" hidden="1" x14ac:dyDescent="0.3">
      <c r="A341" t="s">
        <v>77</v>
      </c>
      <c r="B341">
        <v>22.064036281179099</v>
      </c>
    </row>
    <row r="342" spans="1:2" x14ac:dyDescent="0.3">
      <c r="A342" t="s">
        <v>78</v>
      </c>
      <c r="B342" t="s">
        <v>105</v>
      </c>
    </row>
    <row r="343" spans="1:2" hidden="1" x14ac:dyDescent="0.3">
      <c r="A343" t="s">
        <v>20</v>
      </c>
    </row>
    <row r="344" spans="1:2" hidden="1" x14ac:dyDescent="0.3">
      <c r="A344" t="s">
        <v>76</v>
      </c>
      <c r="B344">
        <v>22.064036281179099</v>
      </c>
    </row>
    <row r="345" spans="1:2" hidden="1" x14ac:dyDescent="0.3">
      <c r="A345" t="s">
        <v>77</v>
      </c>
      <c r="B345">
        <v>22.224036281179099</v>
      </c>
    </row>
    <row r="346" spans="1:2" x14ac:dyDescent="0.3">
      <c r="A346" t="s">
        <v>78</v>
      </c>
      <c r="B346" t="s">
        <v>106</v>
      </c>
    </row>
    <row r="347" spans="1:2" hidden="1" x14ac:dyDescent="0.3">
      <c r="A347" t="s">
        <v>21</v>
      </c>
    </row>
    <row r="348" spans="1:2" hidden="1" x14ac:dyDescent="0.3">
      <c r="A348" t="s">
        <v>76</v>
      </c>
      <c r="B348">
        <v>22.224036281179099</v>
      </c>
    </row>
    <row r="349" spans="1:2" hidden="1" x14ac:dyDescent="0.3">
      <c r="A349" t="s">
        <v>77</v>
      </c>
      <c r="B349">
        <v>26.408036281179101</v>
      </c>
    </row>
    <row r="350" spans="1:2" x14ac:dyDescent="0.3">
      <c r="A350" t="s">
        <v>78</v>
      </c>
      <c r="B350" t="s">
        <v>105</v>
      </c>
    </row>
    <row r="351" spans="1:2" hidden="1" x14ac:dyDescent="0.3">
      <c r="A351" t="s">
        <v>22</v>
      </c>
    </row>
    <row r="352" spans="1:2" hidden="1" x14ac:dyDescent="0.3">
      <c r="A352" t="s">
        <v>76</v>
      </c>
      <c r="B352">
        <v>26.408036281179101</v>
      </c>
    </row>
    <row r="353" spans="1:2" hidden="1" x14ac:dyDescent="0.3">
      <c r="A353" t="s">
        <v>77</v>
      </c>
      <c r="B353">
        <v>26.528036281179102</v>
      </c>
    </row>
    <row r="354" spans="1:2" x14ac:dyDescent="0.3">
      <c r="A354" t="s">
        <v>78</v>
      </c>
      <c r="B354" t="s">
        <v>106</v>
      </c>
    </row>
    <row r="355" spans="1:2" hidden="1" x14ac:dyDescent="0.3">
      <c r="A355" t="s">
        <v>23</v>
      </c>
    </row>
    <row r="356" spans="1:2" hidden="1" x14ac:dyDescent="0.3">
      <c r="A356" t="s">
        <v>76</v>
      </c>
      <c r="B356">
        <v>26.528036281179102</v>
      </c>
    </row>
    <row r="357" spans="1:2" hidden="1" x14ac:dyDescent="0.3">
      <c r="A357" t="s">
        <v>77</v>
      </c>
      <c r="B357">
        <v>30.1520362811791</v>
      </c>
    </row>
    <row r="358" spans="1:2" x14ac:dyDescent="0.3">
      <c r="A358" t="s">
        <v>78</v>
      </c>
      <c r="B358" t="s">
        <v>105</v>
      </c>
    </row>
    <row r="359" spans="1:2" hidden="1" x14ac:dyDescent="0.3">
      <c r="A359" t="s">
        <v>24</v>
      </c>
    </row>
    <row r="360" spans="1:2" hidden="1" x14ac:dyDescent="0.3">
      <c r="A360" t="s">
        <v>76</v>
      </c>
      <c r="B360">
        <v>30.1520362811791</v>
      </c>
    </row>
    <row r="361" spans="1:2" hidden="1" x14ac:dyDescent="0.3">
      <c r="A361" t="s">
        <v>77</v>
      </c>
      <c r="B361">
        <v>30.568036281179101</v>
      </c>
    </row>
    <row r="362" spans="1:2" x14ac:dyDescent="0.3">
      <c r="A362" t="s">
        <v>78</v>
      </c>
      <c r="B362" t="s">
        <v>106</v>
      </c>
    </row>
    <row r="363" spans="1:2" hidden="1" x14ac:dyDescent="0.3">
      <c r="A363" t="s">
        <v>25</v>
      </c>
    </row>
    <row r="364" spans="1:2" hidden="1" x14ac:dyDescent="0.3">
      <c r="A364" t="s">
        <v>76</v>
      </c>
      <c r="B364">
        <v>30.568036281179101</v>
      </c>
    </row>
    <row r="365" spans="1:2" hidden="1" x14ac:dyDescent="0.3">
      <c r="A365" t="s">
        <v>77</v>
      </c>
      <c r="B365">
        <v>30.8960362811791</v>
      </c>
    </row>
    <row r="366" spans="1:2" x14ac:dyDescent="0.3">
      <c r="A366" t="s">
        <v>78</v>
      </c>
      <c r="B366" t="s">
        <v>105</v>
      </c>
    </row>
    <row r="367" spans="1:2" hidden="1" x14ac:dyDescent="0.3">
      <c r="A367" t="s">
        <v>26</v>
      </c>
    </row>
    <row r="368" spans="1:2" hidden="1" x14ac:dyDescent="0.3">
      <c r="A368" t="s">
        <v>76</v>
      </c>
      <c r="B368">
        <v>30.8960362811791</v>
      </c>
    </row>
    <row r="369" spans="1:2" hidden="1" x14ac:dyDescent="0.3">
      <c r="A369" t="s">
        <v>77</v>
      </c>
      <c r="B369">
        <v>31.488036281179099</v>
      </c>
    </row>
    <row r="370" spans="1:2" x14ac:dyDescent="0.3">
      <c r="A370" t="s">
        <v>78</v>
      </c>
      <c r="B370" t="s">
        <v>106</v>
      </c>
    </row>
    <row r="371" spans="1:2" hidden="1" x14ac:dyDescent="0.3">
      <c r="A371" t="s">
        <v>27</v>
      </c>
    </row>
    <row r="372" spans="1:2" hidden="1" x14ac:dyDescent="0.3">
      <c r="A372" t="s">
        <v>76</v>
      </c>
      <c r="B372">
        <v>31.488036281179099</v>
      </c>
    </row>
    <row r="373" spans="1:2" hidden="1" x14ac:dyDescent="0.3">
      <c r="A373" t="s">
        <v>77</v>
      </c>
      <c r="B373">
        <v>32.064036281179099</v>
      </c>
    </row>
    <row r="374" spans="1:2" x14ac:dyDescent="0.3">
      <c r="A374" t="s">
        <v>78</v>
      </c>
      <c r="B374" t="s">
        <v>105</v>
      </c>
    </row>
    <row r="375" spans="1:2" hidden="1" x14ac:dyDescent="0.3">
      <c r="A375" t="s">
        <v>28</v>
      </c>
    </row>
    <row r="376" spans="1:2" hidden="1" x14ac:dyDescent="0.3">
      <c r="A376" t="s">
        <v>76</v>
      </c>
      <c r="B376">
        <v>32.064036281179099</v>
      </c>
    </row>
    <row r="377" spans="1:2" hidden="1" x14ac:dyDescent="0.3">
      <c r="A377" t="s">
        <v>77</v>
      </c>
      <c r="B377">
        <v>32.424036281179099</v>
      </c>
    </row>
    <row r="378" spans="1:2" x14ac:dyDescent="0.3">
      <c r="A378" t="s">
        <v>78</v>
      </c>
      <c r="B378" t="s">
        <v>106</v>
      </c>
    </row>
    <row r="379" spans="1:2" hidden="1" x14ac:dyDescent="0.3">
      <c r="A379" t="s">
        <v>29</v>
      </c>
    </row>
    <row r="380" spans="1:2" hidden="1" x14ac:dyDescent="0.3">
      <c r="A380" t="s">
        <v>76</v>
      </c>
      <c r="B380">
        <v>32.424036281179099</v>
      </c>
    </row>
    <row r="381" spans="1:2" hidden="1" x14ac:dyDescent="0.3">
      <c r="A381" t="s">
        <v>77</v>
      </c>
      <c r="B381">
        <v>32.624036281179102</v>
      </c>
    </row>
    <row r="382" spans="1:2" x14ac:dyDescent="0.3">
      <c r="A382" t="s">
        <v>78</v>
      </c>
      <c r="B382" t="s">
        <v>105</v>
      </c>
    </row>
    <row r="383" spans="1:2" hidden="1" x14ac:dyDescent="0.3">
      <c r="A383" t="s">
        <v>30</v>
      </c>
    </row>
    <row r="384" spans="1:2" hidden="1" x14ac:dyDescent="0.3">
      <c r="A384" t="s">
        <v>76</v>
      </c>
      <c r="B384">
        <v>32.624036281179102</v>
      </c>
    </row>
    <row r="385" spans="1:2" hidden="1" x14ac:dyDescent="0.3">
      <c r="A385" t="s">
        <v>77</v>
      </c>
      <c r="B385">
        <v>32.856036281179101</v>
      </c>
    </row>
    <row r="386" spans="1:2" x14ac:dyDescent="0.3">
      <c r="A386" t="s">
        <v>78</v>
      </c>
      <c r="B386" t="s">
        <v>106</v>
      </c>
    </row>
    <row r="387" spans="1:2" hidden="1" x14ac:dyDescent="0.3">
      <c r="A387" t="s">
        <v>31</v>
      </c>
    </row>
    <row r="388" spans="1:2" hidden="1" x14ac:dyDescent="0.3">
      <c r="A388" t="s">
        <v>76</v>
      </c>
      <c r="B388">
        <v>32.856036281179101</v>
      </c>
    </row>
    <row r="389" spans="1:2" hidden="1" x14ac:dyDescent="0.3">
      <c r="A389" t="s">
        <v>77</v>
      </c>
      <c r="B389">
        <v>34.224036281179103</v>
      </c>
    </row>
    <row r="390" spans="1:2" x14ac:dyDescent="0.3">
      <c r="A390" t="s">
        <v>78</v>
      </c>
      <c r="B390" t="s">
        <v>105</v>
      </c>
    </row>
    <row r="391" spans="1:2" hidden="1" x14ac:dyDescent="0.3">
      <c r="A391" t="s">
        <v>32</v>
      </c>
    </row>
    <row r="392" spans="1:2" hidden="1" x14ac:dyDescent="0.3">
      <c r="A392" t="s">
        <v>76</v>
      </c>
      <c r="B392">
        <v>34.224036281179103</v>
      </c>
    </row>
    <row r="393" spans="1:2" hidden="1" x14ac:dyDescent="0.3">
      <c r="A393" t="s">
        <v>77</v>
      </c>
      <c r="B393">
        <v>34.6400362811791</v>
      </c>
    </row>
    <row r="394" spans="1:2" x14ac:dyDescent="0.3">
      <c r="A394" t="s">
        <v>78</v>
      </c>
      <c r="B394" t="s">
        <v>106</v>
      </c>
    </row>
    <row r="395" spans="1:2" hidden="1" x14ac:dyDescent="0.3">
      <c r="A395" t="s">
        <v>33</v>
      </c>
    </row>
    <row r="396" spans="1:2" hidden="1" x14ac:dyDescent="0.3">
      <c r="A396" t="s">
        <v>76</v>
      </c>
      <c r="B396">
        <v>34.6400362811791</v>
      </c>
    </row>
    <row r="397" spans="1:2" hidden="1" x14ac:dyDescent="0.3">
      <c r="A397" t="s">
        <v>77</v>
      </c>
      <c r="B397">
        <v>34.792036281179101</v>
      </c>
    </row>
    <row r="398" spans="1:2" x14ac:dyDescent="0.3">
      <c r="A398" t="s">
        <v>78</v>
      </c>
      <c r="B398" t="s">
        <v>105</v>
      </c>
    </row>
    <row r="399" spans="1:2" hidden="1" x14ac:dyDescent="0.3">
      <c r="A399" t="s">
        <v>34</v>
      </c>
    </row>
    <row r="400" spans="1:2" hidden="1" x14ac:dyDescent="0.3">
      <c r="A400" t="s">
        <v>76</v>
      </c>
      <c r="B400">
        <v>34.792036281179101</v>
      </c>
    </row>
    <row r="401" spans="1:2" hidden="1" x14ac:dyDescent="0.3">
      <c r="A401" t="s">
        <v>77</v>
      </c>
      <c r="B401">
        <v>34.992036281179097</v>
      </c>
    </row>
    <row r="402" spans="1:2" x14ac:dyDescent="0.3">
      <c r="A402" t="s">
        <v>78</v>
      </c>
      <c r="B402" t="s">
        <v>106</v>
      </c>
    </row>
    <row r="403" spans="1:2" hidden="1" x14ac:dyDescent="0.3">
      <c r="A403" t="s">
        <v>35</v>
      </c>
    </row>
    <row r="404" spans="1:2" hidden="1" x14ac:dyDescent="0.3">
      <c r="A404" t="s">
        <v>76</v>
      </c>
      <c r="B404">
        <v>34.992036281179097</v>
      </c>
    </row>
    <row r="405" spans="1:2" hidden="1" x14ac:dyDescent="0.3">
      <c r="A405" t="s">
        <v>77</v>
      </c>
      <c r="B405">
        <v>35.8960362811791</v>
      </c>
    </row>
    <row r="406" spans="1:2" x14ac:dyDescent="0.3">
      <c r="A406" t="s">
        <v>78</v>
      </c>
      <c r="B406" t="s">
        <v>105</v>
      </c>
    </row>
    <row r="407" spans="1:2" hidden="1" x14ac:dyDescent="0.3">
      <c r="A407" t="s">
        <v>36</v>
      </c>
    </row>
    <row r="408" spans="1:2" hidden="1" x14ac:dyDescent="0.3">
      <c r="A408" t="s">
        <v>76</v>
      </c>
      <c r="B408">
        <v>35.8960362811791</v>
      </c>
    </row>
    <row r="409" spans="1:2" hidden="1" x14ac:dyDescent="0.3">
      <c r="A409" t="s">
        <v>77</v>
      </c>
      <c r="B409">
        <v>36.0240362811791</v>
      </c>
    </row>
    <row r="410" spans="1:2" x14ac:dyDescent="0.3">
      <c r="A410" t="s">
        <v>78</v>
      </c>
      <c r="B410" t="s">
        <v>106</v>
      </c>
    </row>
    <row r="411" spans="1:2" hidden="1" x14ac:dyDescent="0.3">
      <c r="A411" t="s">
        <v>37</v>
      </c>
    </row>
    <row r="412" spans="1:2" hidden="1" x14ac:dyDescent="0.3">
      <c r="A412" t="s">
        <v>76</v>
      </c>
      <c r="B412">
        <v>36.0240362811791</v>
      </c>
    </row>
    <row r="413" spans="1:2" hidden="1" x14ac:dyDescent="0.3">
      <c r="A413" t="s">
        <v>77</v>
      </c>
      <c r="B413">
        <v>36.192036281179099</v>
      </c>
    </row>
    <row r="414" spans="1:2" x14ac:dyDescent="0.3">
      <c r="A414" t="s">
        <v>78</v>
      </c>
      <c r="B414" t="s">
        <v>105</v>
      </c>
    </row>
    <row r="415" spans="1:2" hidden="1" x14ac:dyDescent="0.3">
      <c r="A415" t="s">
        <v>38</v>
      </c>
    </row>
    <row r="416" spans="1:2" hidden="1" x14ac:dyDescent="0.3">
      <c r="A416" t="s">
        <v>76</v>
      </c>
      <c r="B416">
        <v>36.192036281179099</v>
      </c>
    </row>
    <row r="417" spans="1:2" hidden="1" x14ac:dyDescent="0.3">
      <c r="A417" t="s">
        <v>77</v>
      </c>
      <c r="B417">
        <v>36.400036281179098</v>
      </c>
    </row>
    <row r="418" spans="1:2" x14ac:dyDescent="0.3">
      <c r="A418" t="s">
        <v>78</v>
      </c>
      <c r="B418" t="s">
        <v>106</v>
      </c>
    </row>
    <row r="419" spans="1:2" hidden="1" x14ac:dyDescent="0.3">
      <c r="A419" t="s">
        <v>39</v>
      </c>
    </row>
    <row r="420" spans="1:2" hidden="1" x14ac:dyDescent="0.3">
      <c r="A420" t="s">
        <v>76</v>
      </c>
      <c r="B420">
        <v>36.400036281179098</v>
      </c>
    </row>
    <row r="421" spans="1:2" hidden="1" x14ac:dyDescent="0.3">
      <c r="A421" t="s">
        <v>77</v>
      </c>
      <c r="B421">
        <v>36.752036281179102</v>
      </c>
    </row>
    <row r="422" spans="1:2" x14ac:dyDescent="0.3">
      <c r="A422" t="s">
        <v>78</v>
      </c>
      <c r="B422" t="s">
        <v>105</v>
      </c>
    </row>
    <row r="423" spans="1:2" hidden="1" x14ac:dyDescent="0.3">
      <c r="A423" t="s">
        <v>40</v>
      </c>
    </row>
    <row r="424" spans="1:2" hidden="1" x14ac:dyDescent="0.3">
      <c r="A424" t="s">
        <v>76</v>
      </c>
      <c r="B424">
        <v>36.752036281179102</v>
      </c>
    </row>
    <row r="425" spans="1:2" hidden="1" x14ac:dyDescent="0.3">
      <c r="A425" t="s">
        <v>77</v>
      </c>
      <c r="B425">
        <v>37.3840362811791</v>
      </c>
    </row>
    <row r="426" spans="1:2" x14ac:dyDescent="0.3">
      <c r="A426" t="s">
        <v>78</v>
      </c>
      <c r="B426" t="s">
        <v>106</v>
      </c>
    </row>
    <row r="427" spans="1:2" hidden="1" x14ac:dyDescent="0.3">
      <c r="A427" t="s">
        <v>41</v>
      </c>
    </row>
    <row r="428" spans="1:2" hidden="1" x14ac:dyDescent="0.3">
      <c r="A428" t="s">
        <v>76</v>
      </c>
      <c r="B428">
        <v>37.3840362811791</v>
      </c>
    </row>
    <row r="429" spans="1:2" hidden="1" x14ac:dyDescent="0.3">
      <c r="A429" t="s">
        <v>77</v>
      </c>
      <c r="B429">
        <v>38.104036281179098</v>
      </c>
    </row>
    <row r="430" spans="1:2" x14ac:dyDescent="0.3">
      <c r="A430" t="s">
        <v>78</v>
      </c>
      <c r="B430" t="s">
        <v>105</v>
      </c>
    </row>
    <row r="431" spans="1:2" hidden="1" x14ac:dyDescent="0.3">
      <c r="A431" t="s">
        <v>42</v>
      </c>
    </row>
    <row r="432" spans="1:2" hidden="1" x14ac:dyDescent="0.3">
      <c r="A432" t="s">
        <v>76</v>
      </c>
      <c r="B432">
        <v>38.104036281179098</v>
      </c>
    </row>
    <row r="433" spans="1:2" hidden="1" x14ac:dyDescent="0.3">
      <c r="A433" t="s">
        <v>77</v>
      </c>
      <c r="B433">
        <v>38.6400362811791</v>
      </c>
    </row>
    <row r="434" spans="1:2" x14ac:dyDescent="0.3">
      <c r="A434" t="s">
        <v>78</v>
      </c>
      <c r="B434" t="s">
        <v>106</v>
      </c>
    </row>
    <row r="435" spans="1:2" hidden="1" x14ac:dyDescent="0.3">
      <c r="A435" t="s">
        <v>43</v>
      </c>
    </row>
    <row r="436" spans="1:2" hidden="1" x14ac:dyDescent="0.3">
      <c r="A436" t="s">
        <v>76</v>
      </c>
      <c r="B436">
        <v>38.6400362811791</v>
      </c>
    </row>
    <row r="437" spans="1:2" hidden="1" x14ac:dyDescent="0.3">
      <c r="A437" t="s">
        <v>77</v>
      </c>
      <c r="B437">
        <v>40.7680362811791</v>
      </c>
    </row>
    <row r="438" spans="1:2" x14ac:dyDescent="0.3">
      <c r="A438" t="s">
        <v>78</v>
      </c>
      <c r="B438" t="s">
        <v>105</v>
      </c>
    </row>
    <row r="439" spans="1:2" hidden="1" x14ac:dyDescent="0.3">
      <c r="A439" t="s">
        <v>44</v>
      </c>
    </row>
    <row r="440" spans="1:2" hidden="1" x14ac:dyDescent="0.3">
      <c r="A440" t="s">
        <v>76</v>
      </c>
      <c r="B440">
        <v>40.7680362811791</v>
      </c>
    </row>
    <row r="441" spans="1:2" hidden="1" x14ac:dyDescent="0.3">
      <c r="A441" t="s">
        <v>77</v>
      </c>
      <c r="B441">
        <v>40.952036281179097</v>
      </c>
    </row>
    <row r="442" spans="1:2" x14ac:dyDescent="0.3">
      <c r="A442" t="s">
        <v>78</v>
      </c>
      <c r="B442" t="s">
        <v>106</v>
      </c>
    </row>
    <row r="443" spans="1:2" hidden="1" x14ac:dyDescent="0.3">
      <c r="A443" t="s">
        <v>45</v>
      </c>
    </row>
    <row r="444" spans="1:2" hidden="1" x14ac:dyDescent="0.3">
      <c r="A444" t="s">
        <v>76</v>
      </c>
      <c r="B444">
        <v>40.952036281179097</v>
      </c>
    </row>
    <row r="445" spans="1:2" hidden="1" x14ac:dyDescent="0.3">
      <c r="A445" t="s">
        <v>77</v>
      </c>
      <c r="B445">
        <v>42.3440362811791</v>
      </c>
    </row>
    <row r="446" spans="1:2" x14ac:dyDescent="0.3">
      <c r="A446" t="s">
        <v>78</v>
      </c>
      <c r="B446" t="s">
        <v>105</v>
      </c>
    </row>
    <row r="447" spans="1:2" hidden="1" x14ac:dyDescent="0.3">
      <c r="A447" t="s">
        <v>46</v>
      </c>
    </row>
    <row r="448" spans="1:2" hidden="1" x14ac:dyDescent="0.3">
      <c r="A448" t="s">
        <v>76</v>
      </c>
      <c r="B448">
        <v>42.3440362811791</v>
      </c>
    </row>
    <row r="449" spans="1:2" hidden="1" x14ac:dyDescent="0.3">
      <c r="A449" t="s">
        <v>77</v>
      </c>
      <c r="B449">
        <v>42.464036281179098</v>
      </c>
    </row>
    <row r="450" spans="1:2" x14ac:dyDescent="0.3">
      <c r="A450" t="s">
        <v>78</v>
      </c>
      <c r="B450" t="s">
        <v>106</v>
      </c>
    </row>
    <row r="451" spans="1:2" hidden="1" x14ac:dyDescent="0.3">
      <c r="A451" t="s">
        <v>47</v>
      </c>
    </row>
    <row r="452" spans="1:2" hidden="1" x14ac:dyDescent="0.3">
      <c r="A452" t="s">
        <v>76</v>
      </c>
      <c r="B452">
        <v>42.464036281179098</v>
      </c>
    </row>
    <row r="453" spans="1:2" hidden="1" x14ac:dyDescent="0.3">
      <c r="A453" t="s">
        <v>77</v>
      </c>
      <c r="B453">
        <v>44.136036281179102</v>
      </c>
    </row>
    <row r="454" spans="1:2" x14ac:dyDescent="0.3">
      <c r="A454" t="s">
        <v>78</v>
      </c>
      <c r="B454" t="s">
        <v>105</v>
      </c>
    </row>
    <row r="455" spans="1:2" hidden="1" x14ac:dyDescent="0.3">
      <c r="A455" t="s">
        <v>48</v>
      </c>
    </row>
    <row r="456" spans="1:2" hidden="1" x14ac:dyDescent="0.3">
      <c r="A456" t="s">
        <v>76</v>
      </c>
      <c r="B456">
        <v>44.136036281179102</v>
      </c>
    </row>
    <row r="457" spans="1:2" hidden="1" x14ac:dyDescent="0.3">
      <c r="A457" t="s">
        <v>77</v>
      </c>
      <c r="B457">
        <v>44.264036281179102</v>
      </c>
    </row>
    <row r="458" spans="1:2" x14ac:dyDescent="0.3">
      <c r="A458" t="s">
        <v>78</v>
      </c>
      <c r="B458" t="s">
        <v>106</v>
      </c>
    </row>
    <row r="459" spans="1:2" hidden="1" x14ac:dyDescent="0.3">
      <c r="A459" t="s">
        <v>49</v>
      </c>
    </row>
    <row r="460" spans="1:2" hidden="1" x14ac:dyDescent="0.3">
      <c r="A460" t="s">
        <v>76</v>
      </c>
      <c r="B460">
        <v>44.264036281179102</v>
      </c>
    </row>
    <row r="461" spans="1:2" hidden="1" x14ac:dyDescent="0.3">
      <c r="A461" t="s">
        <v>77</v>
      </c>
      <c r="B461">
        <v>44.504036281179097</v>
      </c>
    </row>
    <row r="462" spans="1:2" x14ac:dyDescent="0.3">
      <c r="A462" t="s">
        <v>78</v>
      </c>
      <c r="B462" t="s">
        <v>105</v>
      </c>
    </row>
    <row r="463" spans="1:2" hidden="1" x14ac:dyDescent="0.3">
      <c r="A463" t="s">
        <v>50</v>
      </c>
    </row>
    <row r="464" spans="1:2" hidden="1" x14ac:dyDescent="0.3">
      <c r="A464" t="s">
        <v>76</v>
      </c>
      <c r="B464">
        <v>44.504036281179097</v>
      </c>
    </row>
    <row r="465" spans="1:2" hidden="1" x14ac:dyDescent="0.3">
      <c r="A465" t="s">
        <v>77</v>
      </c>
      <c r="B465">
        <v>44.768072562358199</v>
      </c>
    </row>
    <row r="466" spans="1:2" x14ac:dyDescent="0.3">
      <c r="A466" t="s">
        <v>78</v>
      </c>
      <c r="B466" t="s">
        <v>106</v>
      </c>
    </row>
  </sheetData>
  <autoFilter ref="A1:B466" xr:uid="{D112FE9B-1DAC-40D8-98A3-391FD82C6BBA}">
    <filterColumn colId="0">
      <filters>
        <filter val="text"/>
      </filters>
    </filterColumn>
  </autoFilter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2B2E-E877-44BD-AD67-7F693EB66DF9}">
  <sheetPr codeName="Sheet3"/>
  <dimension ref="A1:N68"/>
  <sheetViews>
    <sheetView workbookViewId="0">
      <selection activeCell="N2" sqref="N2"/>
    </sheetView>
  </sheetViews>
  <sheetFormatPr defaultRowHeight="15" x14ac:dyDescent="0.3"/>
  <cols>
    <col min="1" max="1" width="24.5" customWidth="1"/>
    <col min="3" max="4" width="14.875" customWidth="1"/>
    <col min="5" max="5" width="32" customWidth="1"/>
    <col min="6" max="6" width="21.25" customWidth="1"/>
    <col min="7" max="7" width="15.5" bestFit="1" customWidth="1"/>
    <col min="8" max="8" width="13.5" bestFit="1" customWidth="1"/>
    <col min="14" max="14" width="29" customWidth="1"/>
  </cols>
  <sheetData>
    <row r="1" spans="1:14" x14ac:dyDescent="0.3">
      <c r="A1" t="s">
        <v>112</v>
      </c>
      <c r="B1" t="s">
        <v>111</v>
      </c>
      <c r="C1" t="s">
        <v>109</v>
      </c>
      <c r="D1" t="s">
        <v>110</v>
      </c>
      <c r="E1" t="s">
        <v>107</v>
      </c>
      <c r="F1" t="s">
        <v>145</v>
      </c>
      <c r="G1" t="s">
        <v>146</v>
      </c>
      <c r="H1" t="s">
        <v>150</v>
      </c>
      <c r="I1" t="s">
        <v>147</v>
      </c>
      <c r="J1" t="s">
        <v>148</v>
      </c>
      <c r="K1" t="s">
        <v>149</v>
      </c>
      <c r="L1" t="s">
        <v>151</v>
      </c>
      <c r="N1" t="s">
        <v>118</v>
      </c>
    </row>
    <row r="2" spans="1:14" x14ac:dyDescent="0.3">
      <c r="A2" t="s">
        <v>156</v>
      </c>
      <c r="B2" t="s">
        <v>114</v>
      </c>
      <c r="C2">
        <v>0</v>
      </c>
      <c r="D2">
        <v>18.0524187256594</v>
      </c>
      <c r="E2" t="s">
        <v>79</v>
      </c>
      <c r="F2" t="s">
        <v>152</v>
      </c>
      <c r="G2">
        <v>0</v>
      </c>
      <c r="H2">
        <v>0</v>
      </c>
      <c r="I2">
        <f t="shared" ref="I2:I33" si="0">IF(LEN(TRIM(E2))=0,0,LEN(TRIM(E2))-LEN(SUBSTITUTE(E2," ",""))+1)</f>
        <v>1</v>
      </c>
      <c r="J2">
        <f t="shared" ref="J2:J33" si="1">I2/K2</f>
        <v>5.5394239143069346E-2</v>
      </c>
      <c r="K2">
        <f t="shared" ref="K2:K33" si="2">D2-C2</f>
        <v>18.0524187256594</v>
      </c>
      <c r="L2" t="str">
        <f t="shared" ref="L2:L33" si="3">IF(AND(K2&lt;0.04, F2 = "silence"), "Bad","Good")</f>
        <v>Good</v>
      </c>
      <c r="N2" t="s">
        <v>119</v>
      </c>
    </row>
    <row r="3" spans="1:14" x14ac:dyDescent="0.3">
      <c r="A3" t="s">
        <v>179</v>
      </c>
      <c r="B3" t="s">
        <v>114</v>
      </c>
      <c r="C3">
        <v>18.0524187256594</v>
      </c>
      <c r="D3">
        <v>19.737314558992701</v>
      </c>
      <c r="E3" t="s">
        <v>100</v>
      </c>
      <c r="F3" t="s">
        <v>134</v>
      </c>
      <c r="G3">
        <v>1</v>
      </c>
      <c r="H3">
        <v>0</v>
      </c>
      <c r="I3">
        <f t="shared" si="0"/>
        <v>4</v>
      </c>
      <c r="J3">
        <f t="shared" si="1"/>
        <v>2.374034003091237</v>
      </c>
      <c r="K3">
        <f t="shared" si="2"/>
        <v>1.6848958333333002</v>
      </c>
      <c r="L3" t="str">
        <f t="shared" si="3"/>
        <v>Good</v>
      </c>
      <c r="N3" t="s">
        <v>120</v>
      </c>
    </row>
    <row r="4" spans="1:14" x14ac:dyDescent="0.3">
      <c r="A4" t="s">
        <v>182</v>
      </c>
      <c r="B4" t="s">
        <v>114</v>
      </c>
      <c r="C4">
        <v>19.737314558992701</v>
      </c>
      <c r="D4">
        <v>26.337244583805901</v>
      </c>
      <c r="E4" t="s">
        <v>79</v>
      </c>
      <c r="F4" t="s">
        <v>152</v>
      </c>
      <c r="G4">
        <v>0</v>
      </c>
      <c r="H4">
        <v>0</v>
      </c>
      <c r="I4">
        <f t="shared" si="0"/>
        <v>1</v>
      </c>
      <c r="J4">
        <f t="shared" si="1"/>
        <v>0.15151675794143032</v>
      </c>
      <c r="K4">
        <f t="shared" si="2"/>
        <v>6.5999300248132009</v>
      </c>
      <c r="L4" t="str">
        <f t="shared" si="3"/>
        <v>Good</v>
      </c>
      <c r="N4" t="s">
        <v>121</v>
      </c>
    </row>
    <row r="5" spans="1:14" x14ac:dyDescent="0.3">
      <c r="A5" t="s">
        <v>191</v>
      </c>
      <c r="B5" t="s">
        <v>114</v>
      </c>
      <c r="C5">
        <v>26.337244583805901</v>
      </c>
      <c r="D5">
        <v>27.085485046562098</v>
      </c>
      <c r="E5" t="s">
        <v>101</v>
      </c>
      <c r="F5" t="s">
        <v>134</v>
      </c>
      <c r="G5">
        <v>0</v>
      </c>
      <c r="H5">
        <v>0</v>
      </c>
      <c r="I5">
        <f t="shared" si="0"/>
        <v>1</v>
      </c>
      <c r="J5">
        <f t="shared" si="1"/>
        <v>1.3364687554004082</v>
      </c>
      <c r="K5">
        <f t="shared" si="2"/>
        <v>0.74824046275619693</v>
      </c>
      <c r="L5" t="str">
        <f t="shared" si="3"/>
        <v>Good</v>
      </c>
      <c r="N5" t="s">
        <v>122</v>
      </c>
    </row>
    <row r="6" spans="1:14" x14ac:dyDescent="0.3">
      <c r="A6" t="s">
        <v>192</v>
      </c>
      <c r="B6" t="s">
        <v>114</v>
      </c>
      <c r="C6">
        <v>27.085485046562098</v>
      </c>
      <c r="D6">
        <v>30.321712125498198</v>
      </c>
      <c r="E6" t="s">
        <v>79</v>
      </c>
      <c r="F6" t="s">
        <v>152</v>
      </c>
      <c r="G6">
        <v>0</v>
      </c>
      <c r="H6">
        <v>0</v>
      </c>
      <c r="I6">
        <f t="shared" si="0"/>
        <v>1</v>
      </c>
      <c r="J6">
        <f t="shared" si="1"/>
        <v>0.30900180228661428</v>
      </c>
      <c r="K6">
        <f t="shared" si="2"/>
        <v>3.2362270789360998</v>
      </c>
      <c r="L6" t="str">
        <f t="shared" si="3"/>
        <v>Good</v>
      </c>
      <c r="N6" t="s">
        <v>123</v>
      </c>
    </row>
    <row r="7" spans="1:14" x14ac:dyDescent="0.3">
      <c r="A7" t="s">
        <v>196</v>
      </c>
      <c r="B7" t="s">
        <v>114</v>
      </c>
      <c r="C7">
        <v>30.321712125498198</v>
      </c>
      <c r="D7">
        <v>31.7949380957184</v>
      </c>
      <c r="E7" t="s">
        <v>117</v>
      </c>
      <c r="F7" t="s">
        <v>134</v>
      </c>
      <c r="G7">
        <v>1</v>
      </c>
      <c r="H7">
        <v>0</v>
      </c>
      <c r="I7">
        <f t="shared" si="0"/>
        <v>5</v>
      </c>
      <c r="J7">
        <f t="shared" si="1"/>
        <v>3.3939124757980292</v>
      </c>
      <c r="K7">
        <f t="shared" si="2"/>
        <v>1.4732259702202022</v>
      </c>
      <c r="L7" t="str">
        <f t="shared" si="3"/>
        <v>Good</v>
      </c>
      <c r="N7" t="s">
        <v>124</v>
      </c>
    </row>
    <row r="8" spans="1:14" x14ac:dyDescent="0.3">
      <c r="A8" t="s">
        <v>198</v>
      </c>
      <c r="B8" t="s">
        <v>114</v>
      </c>
      <c r="C8">
        <v>31.7949380957184</v>
      </c>
      <c r="D8">
        <v>39.1899738556492</v>
      </c>
      <c r="E8" t="s">
        <v>79</v>
      </c>
      <c r="F8" t="s">
        <v>152</v>
      </c>
      <c r="G8">
        <v>0</v>
      </c>
      <c r="H8">
        <v>0</v>
      </c>
      <c r="I8">
        <f t="shared" si="0"/>
        <v>1</v>
      </c>
      <c r="J8">
        <f t="shared" si="1"/>
        <v>0.13522585048450905</v>
      </c>
      <c r="K8">
        <f t="shared" si="2"/>
        <v>7.3950357599307992</v>
      </c>
      <c r="L8" t="str">
        <f t="shared" si="3"/>
        <v>Good</v>
      </c>
      <c r="N8" t="s">
        <v>125</v>
      </c>
    </row>
    <row r="9" spans="1:14" x14ac:dyDescent="0.3">
      <c r="A9" t="s">
        <v>211</v>
      </c>
      <c r="B9" t="s">
        <v>114</v>
      </c>
      <c r="C9">
        <v>39.1899738556492</v>
      </c>
      <c r="D9">
        <v>40.040563761159298</v>
      </c>
      <c r="E9" t="s">
        <v>115</v>
      </c>
      <c r="F9" t="s">
        <v>141</v>
      </c>
      <c r="G9">
        <v>0</v>
      </c>
      <c r="H9">
        <v>0</v>
      </c>
      <c r="I9">
        <f t="shared" si="0"/>
        <v>3</v>
      </c>
      <c r="J9">
        <f t="shared" si="1"/>
        <v>3.5269640288064572</v>
      </c>
      <c r="K9">
        <f t="shared" si="2"/>
        <v>0.85058990551009828</v>
      </c>
      <c r="L9" t="str">
        <f t="shared" si="3"/>
        <v>Good</v>
      </c>
      <c r="N9" t="s">
        <v>126</v>
      </c>
    </row>
    <row r="10" spans="1:14" x14ac:dyDescent="0.3">
      <c r="A10" t="s">
        <v>212</v>
      </c>
      <c r="B10" t="s">
        <v>114</v>
      </c>
      <c r="C10">
        <v>40.040563761159298</v>
      </c>
      <c r="D10">
        <v>44.768072562358199</v>
      </c>
      <c r="E10" t="s">
        <v>79</v>
      </c>
      <c r="F10" t="s">
        <v>152</v>
      </c>
      <c r="G10">
        <v>0</v>
      </c>
      <c r="H10">
        <v>0</v>
      </c>
      <c r="I10">
        <f t="shared" si="0"/>
        <v>1</v>
      </c>
      <c r="J10">
        <f t="shared" si="1"/>
        <v>0.21152789810701123</v>
      </c>
      <c r="K10">
        <f t="shared" si="2"/>
        <v>4.7275088011989013</v>
      </c>
      <c r="L10" t="str">
        <f t="shared" si="3"/>
        <v>Good</v>
      </c>
      <c r="N10" t="s">
        <v>127</v>
      </c>
    </row>
    <row r="11" spans="1:14" x14ac:dyDescent="0.3">
      <c r="A11" t="s">
        <v>155</v>
      </c>
      <c r="B11" t="s">
        <v>113</v>
      </c>
      <c r="C11">
        <v>0</v>
      </c>
      <c r="D11">
        <v>0.351597086588541</v>
      </c>
      <c r="E11" t="s">
        <v>79</v>
      </c>
      <c r="F11" t="s">
        <v>152</v>
      </c>
      <c r="G11">
        <v>0</v>
      </c>
      <c r="H11">
        <v>0</v>
      </c>
      <c r="I11">
        <f t="shared" si="0"/>
        <v>1</v>
      </c>
      <c r="J11">
        <f t="shared" si="1"/>
        <v>2.8441646365808975</v>
      </c>
      <c r="K11">
        <f t="shared" si="2"/>
        <v>0.351597086588541</v>
      </c>
      <c r="L11" t="str">
        <f t="shared" si="3"/>
        <v>Good</v>
      </c>
      <c r="N11" t="s">
        <v>128</v>
      </c>
    </row>
    <row r="12" spans="1:14" x14ac:dyDescent="0.3">
      <c r="A12" t="s">
        <v>157</v>
      </c>
      <c r="B12" t="s">
        <v>113</v>
      </c>
      <c r="C12">
        <v>0.351597086588541</v>
      </c>
      <c r="D12">
        <v>0.52710706922743</v>
      </c>
      <c r="E12" t="s">
        <v>80</v>
      </c>
      <c r="F12" t="s">
        <v>122</v>
      </c>
      <c r="G12">
        <v>0</v>
      </c>
      <c r="H12">
        <v>0</v>
      </c>
      <c r="I12">
        <f t="shared" si="0"/>
        <v>1</v>
      </c>
      <c r="J12">
        <f t="shared" si="1"/>
        <v>5.6976816074188523</v>
      </c>
      <c r="K12">
        <f t="shared" si="2"/>
        <v>0.17550998263888901</v>
      </c>
      <c r="L12" t="str">
        <f t="shared" si="3"/>
        <v>Good</v>
      </c>
      <c r="N12" t="s">
        <v>129</v>
      </c>
    </row>
    <row r="13" spans="1:14" x14ac:dyDescent="0.3">
      <c r="A13" t="s">
        <v>158</v>
      </c>
      <c r="B13" t="s">
        <v>113</v>
      </c>
      <c r="C13">
        <v>0.52710706922743</v>
      </c>
      <c r="D13">
        <v>1.7665491224718799</v>
      </c>
      <c r="E13" t="s">
        <v>79</v>
      </c>
      <c r="F13" t="s">
        <v>152</v>
      </c>
      <c r="G13">
        <v>0</v>
      </c>
      <c r="H13">
        <v>0</v>
      </c>
      <c r="I13">
        <f t="shared" si="0"/>
        <v>1</v>
      </c>
      <c r="J13">
        <f t="shared" si="1"/>
        <v>0.80681464484953558</v>
      </c>
      <c r="K13">
        <f t="shared" si="2"/>
        <v>1.2394420532444499</v>
      </c>
      <c r="L13" t="str">
        <f t="shared" si="3"/>
        <v>Good</v>
      </c>
      <c r="N13" t="s">
        <v>130</v>
      </c>
    </row>
    <row r="14" spans="1:14" x14ac:dyDescent="0.3">
      <c r="A14" t="s">
        <v>159</v>
      </c>
      <c r="B14" t="s">
        <v>113</v>
      </c>
      <c r="C14">
        <v>1.7665491224718799</v>
      </c>
      <c r="D14">
        <v>2.1544261841038299</v>
      </c>
      <c r="E14" t="s">
        <v>222</v>
      </c>
      <c r="F14" t="s">
        <v>122</v>
      </c>
      <c r="G14">
        <v>0</v>
      </c>
      <c r="H14">
        <v>0</v>
      </c>
      <c r="I14">
        <f t="shared" si="0"/>
        <v>2</v>
      </c>
      <c r="J14">
        <f t="shared" si="1"/>
        <v>5.1562729478902938</v>
      </c>
      <c r="K14">
        <f t="shared" si="2"/>
        <v>0.38787706163195002</v>
      </c>
      <c r="L14" t="str">
        <f t="shared" si="3"/>
        <v>Good</v>
      </c>
      <c r="N14" t="s">
        <v>131</v>
      </c>
    </row>
    <row r="15" spans="1:14" x14ac:dyDescent="0.3">
      <c r="A15" t="s">
        <v>160</v>
      </c>
      <c r="B15" t="s">
        <v>113</v>
      </c>
      <c r="C15">
        <v>2.1544261841038299</v>
      </c>
      <c r="D15">
        <v>2.63033498768137</v>
      </c>
      <c r="E15" t="s">
        <v>79</v>
      </c>
      <c r="F15" t="s">
        <v>152</v>
      </c>
      <c r="G15">
        <v>0</v>
      </c>
      <c r="H15">
        <v>0</v>
      </c>
      <c r="I15">
        <f t="shared" si="0"/>
        <v>1</v>
      </c>
      <c r="J15">
        <f t="shared" si="1"/>
        <v>2.1012429114206741</v>
      </c>
      <c r="K15">
        <f t="shared" si="2"/>
        <v>0.47590880357754006</v>
      </c>
      <c r="L15" t="str">
        <f t="shared" si="3"/>
        <v>Good</v>
      </c>
      <c r="N15" t="s">
        <v>132</v>
      </c>
    </row>
    <row r="16" spans="1:14" x14ac:dyDescent="0.3">
      <c r="A16" t="s">
        <v>161</v>
      </c>
      <c r="B16" t="s">
        <v>113</v>
      </c>
      <c r="C16">
        <v>2.63033498768137</v>
      </c>
      <c r="D16">
        <v>3.2727015241397002</v>
      </c>
      <c r="E16" t="s">
        <v>82</v>
      </c>
      <c r="F16" t="s">
        <v>122</v>
      </c>
      <c r="G16">
        <v>0</v>
      </c>
      <c r="H16">
        <v>0</v>
      </c>
      <c r="I16">
        <f t="shared" si="0"/>
        <v>2</v>
      </c>
      <c r="J16">
        <f t="shared" si="1"/>
        <v>3.1134872171687893</v>
      </c>
      <c r="K16">
        <f t="shared" si="2"/>
        <v>0.6423665364583302</v>
      </c>
      <c r="L16" t="str">
        <f t="shared" si="3"/>
        <v>Good</v>
      </c>
      <c r="N16" t="s">
        <v>133</v>
      </c>
    </row>
    <row r="17" spans="1:14" x14ac:dyDescent="0.3">
      <c r="A17" t="s">
        <v>162</v>
      </c>
      <c r="B17" t="s">
        <v>113</v>
      </c>
      <c r="C17">
        <v>3.2727015241397002</v>
      </c>
      <c r="D17">
        <v>4.11804940260477</v>
      </c>
      <c r="E17" t="s">
        <v>79</v>
      </c>
      <c r="F17" t="s">
        <v>152</v>
      </c>
      <c r="G17">
        <v>0</v>
      </c>
      <c r="H17">
        <v>0</v>
      </c>
      <c r="I17">
        <f t="shared" si="0"/>
        <v>1</v>
      </c>
      <c r="J17">
        <f t="shared" si="1"/>
        <v>1.1829449454770478</v>
      </c>
      <c r="K17">
        <f t="shared" si="2"/>
        <v>0.84534787846506987</v>
      </c>
      <c r="L17" t="str">
        <f t="shared" si="3"/>
        <v>Good</v>
      </c>
      <c r="N17" t="s">
        <v>134</v>
      </c>
    </row>
    <row r="18" spans="1:14" x14ac:dyDescent="0.3">
      <c r="A18" t="s">
        <v>163</v>
      </c>
      <c r="B18" t="s">
        <v>113</v>
      </c>
      <c r="C18">
        <v>4.11804940260477</v>
      </c>
      <c r="D18">
        <v>4.9168874754745202</v>
      </c>
      <c r="E18" t="s">
        <v>83</v>
      </c>
      <c r="F18" t="s">
        <v>125</v>
      </c>
      <c r="G18">
        <v>0</v>
      </c>
      <c r="H18">
        <v>0</v>
      </c>
      <c r="I18">
        <f t="shared" si="0"/>
        <v>4</v>
      </c>
      <c r="J18">
        <f t="shared" si="1"/>
        <v>5.0072726073638156</v>
      </c>
      <c r="K18">
        <f t="shared" si="2"/>
        <v>0.79883807286975017</v>
      </c>
      <c r="L18" t="str">
        <f t="shared" si="3"/>
        <v>Good</v>
      </c>
      <c r="N18" t="s">
        <v>135</v>
      </c>
    </row>
    <row r="19" spans="1:14" x14ac:dyDescent="0.3">
      <c r="A19" t="s">
        <v>164</v>
      </c>
      <c r="B19" t="s">
        <v>113</v>
      </c>
      <c r="C19">
        <v>4.9168874754745202</v>
      </c>
      <c r="D19">
        <v>4.9366323485213899</v>
      </c>
      <c r="E19" t="s">
        <v>79</v>
      </c>
      <c r="F19" t="s">
        <v>152</v>
      </c>
      <c r="G19">
        <v>0</v>
      </c>
      <c r="H19">
        <v>0</v>
      </c>
      <c r="I19">
        <f t="shared" si="0"/>
        <v>1</v>
      </c>
      <c r="J19">
        <f t="shared" si="1"/>
        <v>50.646058732625725</v>
      </c>
      <c r="K19">
        <f t="shared" si="2"/>
        <v>1.9744873046869671E-2</v>
      </c>
      <c r="L19" t="str">
        <f t="shared" si="3"/>
        <v>Bad</v>
      </c>
      <c r="N19" t="s">
        <v>136</v>
      </c>
    </row>
    <row r="20" spans="1:14" x14ac:dyDescent="0.3">
      <c r="A20" t="s">
        <v>165</v>
      </c>
      <c r="B20" t="s">
        <v>113</v>
      </c>
      <c r="C20">
        <v>4.9366323485213899</v>
      </c>
      <c r="D20">
        <v>5.9493293344023401</v>
      </c>
      <c r="E20" t="s">
        <v>84</v>
      </c>
      <c r="F20" t="s">
        <v>125</v>
      </c>
      <c r="G20">
        <v>0</v>
      </c>
      <c r="H20">
        <v>0</v>
      </c>
      <c r="I20">
        <f t="shared" si="0"/>
        <v>5</v>
      </c>
      <c r="J20">
        <f t="shared" si="1"/>
        <v>4.9373110315426434</v>
      </c>
      <c r="K20">
        <f t="shared" si="2"/>
        <v>1.0126969858809503</v>
      </c>
      <c r="L20" t="str">
        <f t="shared" si="3"/>
        <v>Good</v>
      </c>
      <c r="N20" t="s">
        <v>137</v>
      </c>
    </row>
    <row r="21" spans="1:14" x14ac:dyDescent="0.3">
      <c r="A21" t="s">
        <v>166</v>
      </c>
      <c r="B21" t="s">
        <v>113</v>
      </c>
      <c r="C21">
        <v>5.9493293344023401</v>
      </c>
      <c r="D21">
        <v>6.7667339975331302</v>
      </c>
      <c r="E21" t="s">
        <v>79</v>
      </c>
      <c r="F21" t="s">
        <v>152</v>
      </c>
      <c r="G21">
        <v>0</v>
      </c>
      <c r="H21">
        <v>0</v>
      </c>
      <c r="I21">
        <f t="shared" si="0"/>
        <v>1</v>
      </c>
      <c r="J21">
        <f t="shared" si="1"/>
        <v>1.2233842613153694</v>
      </c>
      <c r="K21">
        <f t="shared" si="2"/>
        <v>0.81740466313079008</v>
      </c>
      <c r="L21" t="str">
        <f t="shared" si="3"/>
        <v>Good</v>
      </c>
      <c r="N21" t="s">
        <v>138</v>
      </c>
    </row>
    <row r="22" spans="1:14" x14ac:dyDescent="0.3">
      <c r="A22" t="s">
        <v>167</v>
      </c>
      <c r="B22" t="s">
        <v>113</v>
      </c>
      <c r="C22">
        <v>6.7667339975331302</v>
      </c>
      <c r="D22">
        <v>8.9492006316477095</v>
      </c>
      <c r="E22" t="s">
        <v>85</v>
      </c>
      <c r="F22" t="s">
        <v>119</v>
      </c>
      <c r="G22">
        <v>0</v>
      </c>
      <c r="H22">
        <v>0</v>
      </c>
      <c r="I22">
        <f t="shared" si="0"/>
        <v>3</v>
      </c>
      <c r="J22">
        <f t="shared" si="1"/>
        <v>1.3745914613797026</v>
      </c>
      <c r="K22">
        <f t="shared" si="2"/>
        <v>2.1824666341145793</v>
      </c>
      <c r="L22" t="str">
        <f t="shared" si="3"/>
        <v>Good</v>
      </c>
      <c r="N22" t="s">
        <v>139</v>
      </c>
    </row>
    <row r="23" spans="1:14" x14ac:dyDescent="0.3">
      <c r="A23" t="s">
        <v>168</v>
      </c>
      <c r="B23" t="s">
        <v>113</v>
      </c>
      <c r="C23">
        <v>8.9492006316477095</v>
      </c>
      <c r="D23">
        <v>10.338019214523399</v>
      </c>
      <c r="E23" t="s">
        <v>79</v>
      </c>
      <c r="F23" t="s">
        <v>152</v>
      </c>
      <c r="G23">
        <v>0</v>
      </c>
      <c r="H23">
        <v>0</v>
      </c>
      <c r="I23">
        <f t="shared" si="0"/>
        <v>1</v>
      </c>
      <c r="J23">
        <f t="shared" si="1"/>
        <v>0.72003644848227666</v>
      </c>
      <c r="K23">
        <f t="shared" si="2"/>
        <v>1.3888185828756896</v>
      </c>
      <c r="L23" t="str">
        <f t="shared" si="3"/>
        <v>Good</v>
      </c>
      <c r="N23" t="s">
        <v>140</v>
      </c>
    </row>
    <row r="24" spans="1:14" x14ac:dyDescent="0.3">
      <c r="A24" t="s">
        <v>169</v>
      </c>
      <c r="B24" t="s">
        <v>113</v>
      </c>
      <c r="C24">
        <v>10.338019214523399</v>
      </c>
      <c r="D24">
        <v>10.6047943881346</v>
      </c>
      <c r="E24" t="s">
        <v>86</v>
      </c>
      <c r="F24" t="s">
        <v>154</v>
      </c>
      <c r="G24">
        <v>0</v>
      </c>
      <c r="H24">
        <v>0</v>
      </c>
      <c r="I24">
        <f t="shared" si="0"/>
        <v>1</v>
      </c>
      <c r="J24">
        <f t="shared" si="1"/>
        <v>3.7484747417216693</v>
      </c>
      <c r="K24">
        <f t="shared" si="2"/>
        <v>0.26677517361120096</v>
      </c>
      <c r="L24" t="str">
        <f t="shared" si="3"/>
        <v>Good</v>
      </c>
      <c r="N24" t="s">
        <v>141</v>
      </c>
    </row>
    <row r="25" spans="1:14" x14ac:dyDescent="0.3">
      <c r="A25" t="s">
        <v>170</v>
      </c>
      <c r="B25" t="s">
        <v>113</v>
      </c>
      <c r="C25">
        <v>10.6047943881346</v>
      </c>
      <c r="D25">
        <v>13.2459129363309</v>
      </c>
      <c r="E25" t="s">
        <v>79</v>
      </c>
      <c r="F25" t="s">
        <v>152</v>
      </c>
      <c r="G25">
        <v>0</v>
      </c>
      <c r="H25">
        <v>0</v>
      </c>
      <c r="I25">
        <f t="shared" si="0"/>
        <v>1</v>
      </c>
      <c r="J25">
        <f t="shared" si="1"/>
        <v>0.37862745717451057</v>
      </c>
      <c r="K25">
        <f t="shared" si="2"/>
        <v>2.6411185481962995</v>
      </c>
      <c r="L25" t="str">
        <f t="shared" si="3"/>
        <v>Good</v>
      </c>
      <c r="N25" t="s">
        <v>142</v>
      </c>
    </row>
    <row r="26" spans="1:14" x14ac:dyDescent="0.3">
      <c r="A26" t="s">
        <v>171</v>
      </c>
      <c r="B26" t="s">
        <v>113</v>
      </c>
      <c r="C26">
        <v>13.2459129363309</v>
      </c>
      <c r="D26">
        <v>14.4431409981445</v>
      </c>
      <c r="E26" t="s">
        <v>87</v>
      </c>
      <c r="F26" t="s">
        <v>119</v>
      </c>
      <c r="G26">
        <v>0</v>
      </c>
      <c r="H26">
        <v>0</v>
      </c>
      <c r="I26">
        <f t="shared" si="0"/>
        <v>2</v>
      </c>
      <c r="J26">
        <f t="shared" si="1"/>
        <v>1.6705254945079839</v>
      </c>
      <c r="K26">
        <f t="shared" si="2"/>
        <v>1.1972280618136004</v>
      </c>
      <c r="L26" t="str">
        <f t="shared" si="3"/>
        <v>Good</v>
      </c>
      <c r="N26" t="s">
        <v>143</v>
      </c>
    </row>
    <row r="27" spans="1:14" x14ac:dyDescent="0.3">
      <c r="A27" t="s">
        <v>172</v>
      </c>
      <c r="B27" t="s">
        <v>113</v>
      </c>
      <c r="C27">
        <v>14.4431409981445</v>
      </c>
      <c r="D27">
        <v>14.493077017185501</v>
      </c>
      <c r="E27" t="s">
        <v>79</v>
      </c>
      <c r="F27" t="s">
        <v>152</v>
      </c>
      <c r="G27">
        <v>0</v>
      </c>
      <c r="H27">
        <v>0</v>
      </c>
      <c r="I27">
        <f t="shared" si="0"/>
        <v>1</v>
      </c>
      <c r="J27">
        <f t="shared" si="1"/>
        <v>20.025625174064007</v>
      </c>
      <c r="K27">
        <f t="shared" si="2"/>
        <v>4.9936019041000534E-2</v>
      </c>
      <c r="L27" t="str">
        <f t="shared" si="3"/>
        <v>Good</v>
      </c>
      <c r="N27" t="s">
        <v>144</v>
      </c>
    </row>
    <row r="28" spans="1:14" x14ac:dyDescent="0.3">
      <c r="A28" t="s">
        <v>173</v>
      </c>
      <c r="B28" t="s">
        <v>113</v>
      </c>
      <c r="C28">
        <v>14.493077017185501</v>
      </c>
      <c r="D28">
        <v>15.4455608593543</v>
      </c>
      <c r="E28" t="s">
        <v>88</v>
      </c>
      <c r="F28" t="s">
        <v>130</v>
      </c>
      <c r="G28">
        <v>0</v>
      </c>
      <c r="H28">
        <v>0</v>
      </c>
      <c r="I28">
        <f t="shared" si="0"/>
        <v>7</v>
      </c>
      <c r="J28">
        <f t="shared" si="1"/>
        <v>7.3492060338378495</v>
      </c>
      <c r="K28">
        <f t="shared" si="2"/>
        <v>0.95248384216879955</v>
      </c>
      <c r="L28" t="str">
        <f t="shared" si="3"/>
        <v>Good</v>
      </c>
    </row>
    <row r="29" spans="1:14" x14ac:dyDescent="0.3">
      <c r="A29" t="s">
        <v>174</v>
      </c>
      <c r="B29" t="s">
        <v>113</v>
      </c>
      <c r="C29">
        <v>15.4455608593543</v>
      </c>
      <c r="D29">
        <v>15.4771526562293</v>
      </c>
      <c r="E29" t="s">
        <v>79</v>
      </c>
      <c r="F29" t="s">
        <v>152</v>
      </c>
      <c r="G29">
        <v>0</v>
      </c>
      <c r="H29">
        <v>0</v>
      </c>
      <c r="I29">
        <f t="shared" si="0"/>
        <v>1</v>
      </c>
      <c r="J29">
        <f t="shared" si="1"/>
        <v>31.65378670788218</v>
      </c>
      <c r="K29">
        <f t="shared" si="2"/>
        <v>3.1591796875000355E-2</v>
      </c>
      <c r="L29" t="str">
        <f t="shared" si="3"/>
        <v>Bad</v>
      </c>
    </row>
    <row r="30" spans="1:14" x14ac:dyDescent="0.3">
      <c r="A30" t="s">
        <v>175</v>
      </c>
      <c r="B30" t="s">
        <v>113</v>
      </c>
      <c r="C30">
        <v>15.4771526562293</v>
      </c>
      <c r="D30">
        <v>16.680204828690901</v>
      </c>
      <c r="E30" t="s">
        <v>89</v>
      </c>
      <c r="F30" t="s">
        <v>119</v>
      </c>
      <c r="G30">
        <v>0</v>
      </c>
      <c r="H30">
        <v>0</v>
      </c>
      <c r="I30">
        <f t="shared" si="0"/>
        <v>4</v>
      </c>
      <c r="J30">
        <f t="shared" si="1"/>
        <v>3.3248765860382292</v>
      </c>
      <c r="K30">
        <f t="shared" si="2"/>
        <v>1.2030521724616001</v>
      </c>
      <c r="L30" t="str">
        <f t="shared" si="3"/>
        <v>Good</v>
      </c>
    </row>
    <row r="31" spans="1:14" x14ac:dyDescent="0.3">
      <c r="A31" t="s">
        <v>176</v>
      </c>
      <c r="B31" t="s">
        <v>113</v>
      </c>
      <c r="C31">
        <v>16.680204828690901</v>
      </c>
      <c r="D31">
        <v>17.3726604687293</v>
      </c>
      <c r="E31" t="s">
        <v>79</v>
      </c>
      <c r="F31" t="s">
        <v>152</v>
      </c>
      <c r="G31">
        <v>0</v>
      </c>
      <c r="H31">
        <v>0</v>
      </c>
      <c r="I31">
        <f t="shared" si="0"/>
        <v>1</v>
      </c>
      <c r="J31">
        <f t="shared" si="1"/>
        <v>1.444135829328425</v>
      </c>
      <c r="K31">
        <f t="shared" si="2"/>
        <v>0.69245564003839988</v>
      </c>
      <c r="L31" t="str">
        <f t="shared" si="3"/>
        <v>Good</v>
      </c>
    </row>
    <row r="32" spans="1:14" x14ac:dyDescent="0.3">
      <c r="A32" t="s">
        <v>177</v>
      </c>
      <c r="B32" t="s">
        <v>113</v>
      </c>
      <c r="C32">
        <v>17.3726604687293</v>
      </c>
      <c r="D32">
        <v>17.632402066914199</v>
      </c>
      <c r="E32" t="s">
        <v>90</v>
      </c>
      <c r="F32" t="s">
        <v>154</v>
      </c>
      <c r="G32">
        <v>0</v>
      </c>
      <c r="H32">
        <v>0</v>
      </c>
      <c r="I32">
        <f t="shared" si="0"/>
        <v>1</v>
      </c>
      <c r="J32">
        <f t="shared" si="1"/>
        <v>3.8499801610065658</v>
      </c>
      <c r="K32">
        <f t="shared" si="2"/>
        <v>0.25974159818489895</v>
      </c>
      <c r="L32" t="str">
        <f t="shared" si="3"/>
        <v>Good</v>
      </c>
    </row>
    <row r="33" spans="1:12" x14ac:dyDescent="0.3">
      <c r="A33" t="s">
        <v>178</v>
      </c>
      <c r="B33" t="s">
        <v>113</v>
      </c>
      <c r="C33">
        <v>17.632402066914199</v>
      </c>
      <c r="D33">
        <v>18.6035200711455</v>
      </c>
      <c r="E33" t="s">
        <v>79</v>
      </c>
      <c r="F33" t="s">
        <v>152</v>
      </c>
      <c r="G33">
        <v>0</v>
      </c>
      <c r="H33">
        <v>0</v>
      </c>
      <c r="I33">
        <f t="shared" si="0"/>
        <v>1</v>
      </c>
      <c r="J33">
        <f t="shared" si="1"/>
        <v>1.0297409744674249</v>
      </c>
      <c r="K33">
        <f t="shared" si="2"/>
        <v>0.97111800423130035</v>
      </c>
      <c r="L33" t="str">
        <f t="shared" si="3"/>
        <v>Good</v>
      </c>
    </row>
    <row r="34" spans="1:12" x14ac:dyDescent="0.3">
      <c r="A34" t="s">
        <v>180</v>
      </c>
      <c r="B34" t="s">
        <v>113</v>
      </c>
      <c r="C34">
        <v>18.6035200711455</v>
      </c>
      <c r="D34">
        <v>19.056335826353799</v>
      </c>
      <c r="E34" t="s">
        <v>91</v>
      </c>
      <c r="F34" t="s">
        <v>153</v>
      </c>
      <c r="G34">
        <v>1</v>
      </c>
      <c r="H34">
        <v>0</v>
      </c>
      <c r="I34">
        <f t="shared" ref="I34:I68" si="4">IF(LEN(TRIM(E34))=0,0,LEN(TRIM(E34))-LEN(SUBSTITUTE(E34," ",""))+1)</f>
        <v>1</v>
      </c>
      <c r="J34">
        <f t="shared" ref="J34:J65" si="5">I34/K34</f>
        <v>2.2084037238059269</v>
      </c>
      <c r="K34">
        <f t="shared" ref="K34:K68" si="6">D34-C34</f>
        <v>0.45281575520829875</v>
      </c>
      <c r="L34" t="str">
        <f t="shared" ref="L34:L65" si="7">IF(AND(K34&lt;0.04, F34 = "silence"), "Bad","Good")</f>
        <v>Good</v>
      </c>
    </row>
    <row r="35" spans="1:12" x14ac:dyDescent="0.3">
      <c r="A35" t="s">
        <v>181</v>
      </c>
      <c r="B35" t="s">
        <v>113</v>
      </c>
      <c r="C35">
        <v>19.056335826353799</v>
      </c>
      <c r="D35">
        <v>20.106439050086198</v>
      </c>
      <c r="E35" t="s">
        <v>79</v>
      </c>
      <c r="F35" t="s">
        <v>152</v>
      </c>
      <c r="G35">
        <v>0</v>
      </c>
      <c r="H35">
        <v>0</v>
      </c>
      <c r="I35">
        <f t="shared" si="4"/>
        <v>1</v>
      </c>
      <c r="J35">
        <f t="shared" si="5"/>
        <v>0.95228733461619419</v>
      </c>
      <c r="K35">
        <f t="shared" si="6"/>
        <v>1.0501032237323997</v>
      </c>
      <c r="L35" t="str">
        <f t="shared" si="7"/>
        <v>Good</v>
      </c>
    </row>
    <row r="36" spans="1:12" x14ac:dyDescent="0.3">
      <c r="A36" t="s">
        <v>183</v>
      </c>
      <c r="B36" t="s">
        <v>113</v>
      </c>
      <c r="C36">
        <v>20.106439050086198</v>
      </c>
      <c r="D36">
        <v>20.703172991058398</v>
      </c>
      <c r="E36" t="s">
        <v>92</v>
      </c>
      <c r="F36" t="s">
        <v>132</v>
      </c>
      <c r="G36">
        <v>0</v>
      </c>
      <c r="H36">
        <v>0</v>
      </c>
      <c r="I36">
        <f t="shared" si="4"/>
        <v>3</v>
      </c>
      <c r="J36">
        <f t="shared" si="5"/>
        <v>5.0273661241932945</v>
      </c>
      <c r="K36">
        <f t="shared" si="6"/>
        <v>0.59673394097220012</v>
      </c>
      <c r="L36" t="str">
        <f t="shared" si="7"/>
        <v>Good</v>
      </c>
    </row>
    <row r="37" spans="1:12" x14ac:dyDescent="0.3">
      <c r="A37" t="s">
        <v>184</v>
      </c>
      <c r="B37" t="s">
        <v>113</v>
      </c>
      <c r="C37">
        <v>20.703172991058398</v>
      </c>
      <c r="D37">
        <v>20.957163943048599</v>
      </c>
      <c r="E37" t="s">
        <v>79</v>
      </c>
      <c r="F37" t="s">
        <v>152</v>
      </c>
      <c r="G37">
        <v>0</v>
      </c>
      <c r="H37">
        <v>0</v>
      </c>
      <c r="I37">
        <f t="shared" si="4"/>
        <v>1</v>
      </c>
      <c r="J37">
        <f t="shared" si="5"/>
        <v>3.9371481234441079</v>
      </c>
      <c r="K37">
        <f t="shared" si="6"/>
        <v>0.25399095199020039</v>
      </c>
      <c r="L37" t="str">
        <f t="shared" si="7"/>
        <v>Good</v>
      </c>
    </row>
    <row r="38" spans="1:12" x14ac:dyDescent="0.3">
      <c r="A38" t="s">
        <v>185</v>
      </c>
      <c r="B38" t="s">
        <v>113</v>
      </c>
      <c r="C38">
        <v>20.957163943048599</v>
      </c>
      <c r="D38">
        <v>22.972498163145101</v>
      </c>
      <c r="E38" t="s">
        <v>93</v>
      </c>
      <c r="F38" t="s">
        <v>119</v>
      </c>
      <c r="G38">
        <v>0</v>
      </c>
      <c r="H38">
        <v>0</v>
      </c>
      <c r="I38">
        <f t="shared" si="4"/>
        <v>3</v>
      </c>
      <c r="J38">
        <f t="shared" si="5"/>
        <v>1.4885868408746359</v>
      </c>
      <c r="K38">
        <f t="shared" si="6"/>
        <v>2.0153342200965021</v>
      </c>
      <c r="L38" t="str">
        <f t="shared" si="7"/>
        <v>Good</v>
      </c>
    </row>
    <row r="39" spans="1:12" x14ac:dyDescent="0.3">
      <c r="A39" t="s">
        <v>186</v>
      </c>
      <c r="B39" t="s">
        <v>113</v>
      </c>
      <c r="C39">
        <v>22.972498163145101</v>
      </c>
      <c r="D39">
        <v>24.645010736451901</v>
      </c>
      <c r="E39" t="s">
        <v>79</v>
      </c>
      <c r="F39" t="s">
        <v>152</v>
      </c>
      <c r="G39">
        <v>0</v>
      </c>
      <c r="H39">
        <v>0</v>
      </c>
      <c r="I39">
        <f t="shared" si="4"/>
        <v>1</v>
      </c>
      <c r="J39">
        <f t="shared" si="5"/>
        <v>0.59790282952722718</v>
      </c>
      <c r="K39">
        <f t="shared" si="6"/>
        <v>1.6725125733068005</v>
      </c>
      <c r="L39" t="str">
        <f t="shared" si="7"/>
        <v>Good</v>
      </c>
    </row>
    <row r="40" spans="1:12" x14ac:dyDescent="0.3">
      <c r="A40" t="s">
        <v>187</v>
      </c>
      <c r="B40" t="s">
        <v>113</v>
      </c>
      <c r="C40">
        <v>24.645010736451901</v>
      </c>
      <c r="D40">
        <v>25.4009420686887</v>
      </c>
      <c r="E40" t="s">
        <v>93</v>
      </c>
      <c r="F40" t="s">
        <v>119</v>
      </c>
      <c r="G40">
        <v>0</v>
      </c>
      <c r="H40">
        <v>0</v>
      </c>
      <c r="I40">
        <f t="shared" si="4"/>
        <v>3</v>
      </c>
      <c r="J40">
        <f t="shared" si="5"/>
        <v>3.9686144389901257</v>
      </c>
      <c r="K40">
        <f t="shared" si="6"/>
        <v>0.75593133223679843</v>
      </c>
      <c r="L40" t="str">
        <f t="shared" si="7"/>
        <v>Good</v>
      </c>
    </row>
    <row r="41" spans="1:12" x14ac:dyDescent="0.3">
      <c r="A41" t="s">
        <v>188</v>
      </c>
      <c r="B41" t="s">
        <v>113</v>
      </c>
      <c r="C41">
        <v>25.4009420686887</v>
      </c>
      <c r="D41">
        <v>25.779821609410501</v>
      </c>
      <c r="E41" t="s">
        <v>79</v>
      </c>
      <c r="F41" t="s">
        <v>152</v>
      </c>
      <c r="G41">
        <v>0</v>
      </c>
      <c r="H41">
        <v>0</v>
      </c>
      <c r="I41">
        <f t="shared" si="4"/>
        <v>1</v>
      </c>
      <c r="J41">
        <f t="shared" si="5"/>
        <v>2.6393613075409301</v>
      </c>
      <c r="K41">
        <f t="shared" si="6"/>
        <v>0.37887954072180108</v>
      </c>
      <c r="L41" t="str">
        <f t="shared" si="7"/>
        <v>Good</v>
      </c>
    </row>
    <row r="42" spans="1:12" x14ac:dyDescent="0.3">
      <c r="A42" t="s">
        <v>189</v>
      </c>
      <c r="B42" t="s">
        <v>113</v>
      </c>
      <c r="C42">
        <v>25.779821609410501</v>
      </c>
      <c r="D42">
        <v>26.068733213802599</v>
      </c>
      <c r="E42" t="s">
        <v>94</v>
      </c>
      <c r="F42" t="s">
        <v>142</v>
      </c>
      <c r="G42">
        <v>0</v>
      </c>
      <c r="H42">
        <v>0</v>
      </c>
      <c r="I42">
        <f t="shared" si="4"/>
        <v>1</v>
      </c>
      <c r="J42">
        <f t="shared" si="5"/>
        <v>3.4612663001339503</v>
      </c>
      <c r="K42">
        <f t="shared" si="6"/>
        <v>0.28891160439209784</v>
      </c>
      <c r="L42" t="str">
        <f t="shared" si="7"/>
        <v>Good</v>
      </c>
    </row>
    <row r="43" spans="1:12" x14ac:dyDescent="0.3">
      <c r="A43" t="s">
        <v>190</v>
      </c>
      <c r="B43" t="s">
        <v>113</v>
      </c>
      <c r="C43">
        <v>26.068733213802599</v>
      </c>
      <c r="D43">
        <v>27.781773962049702</v>
      </c>
      <c r="E43" t="s">
        <v>79</v>
      </c>
      <c r="F43" t="s">
        <v>152</v>
      </c>
      <c r="G43">
        <v>0</v>
      </c>
      <c r="H43">
        <v>0</v>
      </c>
      <c r="I43">
        <f t="shared" si="4"/>
        <v>1</v>
      </c>
      <c r="J43">
        <f t="shared" si="5"/>
        <v>0.58375727548995349</v>
      </c>
      <c r="K43">
        <f t="shared" si="6"/>
        <v>1.7130407482471028</v>
      </c>
      <c r="L43" t="str">
        <f t="shared" si="7"/>
        <v>Good</v>
      </c>
    </row>
    <row r="44" spans="1:12" x14ac:dyDescent="0.3">
      <c r="A44" t="s">
        <v>193</v>
      </c>
      <c r="B44" t="s">
        <v>113</v>
      </c>
      <c r="C44">
        <v>27.781773962049702</v>
      </c>
      <c r="D44">
        <v>28.865141861357699</v>
      </c>
      <c r="E44" t="s">
        <v>85</v>
      </c>
      <c r="F44" t="s">
        <v>119</v>
      </c>
      <c r="G44">
        <v>0</v>
      </c>
      <c r="H44">
        <v>0</v>
      </c>
      <c r="I44">
        <f t="shared" si="4"/>
        <v>3</v>
      </c>
      <c r="J44">
        <f t="shared" si="5"/>
        <v>2.7691424140555139</v>
      </c>
      <c r="K44">
        <f t="shared" si="6"/>
        <v>1.0833678993079978</v>
      </c>
      <c r="L44" t="str">
        <f t="shared" si="7"/>
        <v>Good</v>
      </c>
    </row>
    <row r="45" spans="1:12" x14ac:dyDescent="0.3">
      <c r="A45" t="s">
        <v>194</v>
      </c>
      <c r="B45" t="s">
        <v>113</v>
      </c>
      <c r="C45">
        <v>28.865141861357699</v>
      </c>
      <c r="D45">
        <v>30.113867032682101</v>
      </c>
      <c r="E45" t="s">
        <v>79</v>
      </c>
      <c r="F45" t="s">
        <v>152</v>
      </c>
      <c r="G45">
        <v>0</v>
      </c>
      <c r="H45">
        <v>0</v>
      </c>
      <c r="I45">
        <f t="shared" si="4"/>
        <v>1</v>
      </c>
      <c r="J45">
        <f t="shared" si="5"/>
        <v>0.80081672329820708</v>
      </c>
      <c r="K45">
        <f t="shared" si="6"/>
        <v>1.2487251713244021</v>
      </c>
      <c r="L45" t="str">
        <f t="shared" si="7"/>
        <v>Good</v>
      </c>
    </row>
    <row r="46" spans="1:12" x14ac:dyDescent="0.3">
      <c r="A46" t="s">
        <v>195</v>
      </c>
      <c r="B46" t="s">
        <v>113</v>
      </c>
      <c r="C46">
        <v>30.113867032682101</v>
      </c>
      <c r="D46">
        <v>30.589993500093801</v>
      </c>
      <c r="E46" t="s">
        <v>90</v>
      </c>
      <c r="F46" t="s">
        <v>154</v>
      </c>
      <c r="G46">
        <v>1</v>
      </c>
      <c r="H46">
        <v>0</v>
      </c>
      <c r="I46">
        <f t="shared" si="4"/>
        <v>1</v>
      </c>
      <c r="J46">
        <f t="shared" si="5"/>
        <v>2.1002823166629696</v>
      </c>
      <c r="K46">
        <f t="shared" si="6"/>
        <v>0.47612646741169939</v>
      </c>
      <c r="L46" t="str">
        <f t="shared" si="7"/>
        <v>Good</v>
      </c>
    </row>
    <row r="47" spans="1:12" x14ac:dyDescent="0.3">
      <c r="A47" t="s">
        <v>197</v>
      </c>
      <c r="B47" t="s">
        <v>113</v>
      </c>
      <c r="C47">
        <v>30.589993500093801</v>
      </c>
      <c r="D47">
        <v>32.133935254004697</v>
      </c>
      <c r="E47" t="s">
        <v>79</v>
      </c>
      <c r="F47" t="s">
        <v>152</v>
      </c>
      <c r="G47">
        <v>0</v>
      </c>
      <c r="H47">
        <v>0</v>
      </c>
      <c r="I47">
        <f t="shared" si="4"/>
        <v>1</v>
      </c>
      <c r="J47">
        <f t="shared" si="5"/>
        <v>0.6476928274443905</v>
      </c>
      <c r="K47">
        <f t="shared" si="6"/>
        <v>1.5439417539108966</v>
      </c>
      <c r="L47" t="str">
        <f t="shared" si="7"/>
        <v>Good</v>
      </c>
    </row>
    <row r="48" spans="1:12" x14ac:dyDescent="0.3">
      <c r="A48" t="s">
        <v>199</v>
      </c>
      <c r="B48" t="s">
        <v>113</v>
      </c>
      <c r="C48">
        <v>32.133935254004697</v>
      </c>
      <c r="D48">
        <v>33.007511528675799</v>
      </c>
      <c r="E48" t="s">
        <v>93</v>
      </c>
      <c r="F48" t="s">
        <v>119</v>
      </c>
      <c r="G48">
        <v>0</v>
      </c>
      <c r="H48">
        <v>0</v>
      </c>
      <c r="I48">
        <f t="shared" si="4"/>
        <v>3</v>
      </c>
      <c r="J48">
        <f t="shared" si="5"/>
        <v>3.4341591993549607</v>
      </c>
      <c r="K48">
        <f t="shared" si="6"/>
        <v>0.87357627467110177</v>
      </c>
      <c r="L48" t="str">
        <f t="shared" si="7"/>
        <v>Good</v>
      </c>
    </row>
    <row r="49" spans="1:12" x14ac:dyDescent="0.3">
      <c r="A49" t="s">
        <v>200</v>
      </c>
      <c r="B49" t="s">
        <v>113</v>
      </c>
      <c r="C49">
        <v>33.007511528675799</v>
      </c>
      <c r="D49">
        <v>34.1952579751066</v>
      </c>
      <c r="E49" t="s">
        <v>79</v>
      </c>
      <c r="F49" t="s">
        <v>152</v>
      </c>
      <c r="G49">
        <v>0</v>
      </c>
      <c r="H49">
        <v>0</v>
      </c>
      <c r="I49">
        <f t="shared" si="4"/>
        <v>1</v>
      </c>
      <c r="J49">
        <f t="shared" si="5"/>
        <v>0.84193053408412044</v>
      </c>
      <c r="K49">
        <f t="shared" si="6"/>
        <v>1.1877464464308005</v>
      </c>
      <c r="L49" t="str">
        <f t="shared" si="7"/>
        <v>Good</v>
      </c>
    </row>
    <row r="50" spans="1:12" x14ac:dyDescent="0.3">
      <c r="A50" t="s">
        <v>201</v>
      </c>
      <c r="B50" t="s">
        <v>113</v>
      </c>
      <c r="C50">
        <v>34.1952579751066</v>
      </c>
      <c r="D50">
        <v>35.071337333659301</v>
      </c>
      <c r="E50" t="s">
        <v>95</v>
      </c>
      <c r="F50" t="s">
        <v>135</v>
      </c>
      <c r="G50">
        <v>0</v>
      </c>
      <c r="H50">
        <v>0</v>
      </c>
      <c r="I50">
        <f t="shared" si="4"/>
        <v>4</v>
      </c>
      <c r="J50">
        <f t="shared" si="5"/>
        <v>4.565796421237537</v>
      </c>
      <c r="K50">
        <f t="shared" si="6"/>
        <v>0.87607935855270114</v>
      </c>
      <c r="L50" t="str">
        <f t="shared" si="7"/>
        <v>Good</v>
      </c>
    </row>
    <row r="51" spans="1:12" x14ac:dyDescent="0.3">
      <c r="A51" t="s">
        <v>202</v>
      </c>
      <c r="B51" t="s">
        <v>113</v>
      </c>
      <c r="C51">
        <v>35.071337333659301</v>
      </c>
      <c r="D51">
        <v>35.466534656682299</v>
      </c>
      <c r="E51" t="s">
        <v>79</v>
      </c>
      <c r="F51" t="s">
        <v>152</v>
      </c>
      <c r="G51">
        <v>0</v>
      </c>
      <c r="H51">
        <v>0</v>
      </c>
      <c r="I51">
        <f t="shared" si="4"/>
        <v>1</v>
      </c>
      <c r="J51">
        <f t="shared" si="5"/>
        <v>2.5303815125837934</v>
      </c>
      <c r="K51">
        <f t="shared" si="6"/>
        <v>0.39519732302299815</v>
      </c>
      <c r="L51" t="str">
        <f t="shared" si="7"/>
        <v>Good</v>
      </c>
    </row>
    <row r="52" spans="1:12" x14ac:dyDescent="0.3">
      <c r="A52" t="s">
        <v>203</v>
      </c>
      <c r="B52" t="s">
        <v>113</v>
      </c>
      <c r="C52">
        <v>35.466534656682299</v>
      </c>
      <c r="D52">
        <v>35.684167035154502</v>
      </c>
      <c r="E52" t="s">
        <v>90</v>
      </c>
      <c r="F52" t="s">
        <v>154</v>
      </c>
      <c r="G52">
        <v>0</v>
      </c>
      <c r="H52">
        <v>0</v>
      </c>
      <c r="I52">
        <f t="shared" si="4"/>
        <v>1</v>
      </c>
      <c r="J52">
        <f t="shared" si="5"/>
        <v>4.5949045221123876</v>
      </c>
      <c r="K52">
        <f t="shared" si="6"/>
        <v>0.21763237847220296</v>
      </c>
      <c r="L52" t="str">
        <f t="shared" si="7"/>
        <v>Good</v>
      </c>
    </row>
    <row r="53" spans="1:12" x14ac:dyDescent="0.3">
      <c r="A53" t="s">
        <v>204</v>
      </c>
      <c r="B53" t="s">
        <v>113</v>
      </c>
      <c r="C53">
        <v>35.684167035154502</v>
      </c>
      <c r="D53">
        <v>35.835105620223999</v>
      </c>
      <c r="E53" t="s">
        <v>79</v>
      </c>
      <c r="F53" t="s">
        <v>152</v>
      </c>
      <c r="G53">
        <v>0</v>
      </c>
      <c r="H53">
        <v>0</v>
      </c>
      <c r="I53">
        <f t="shared" si="4"/>
        <v>1</v>
      </c>
      <c r="J53">
        <f t="shared" si="5"/>
        <v>6.625211171414974</v>
      </c>
      <c r="K53">
        <f t="shared" si="6"/>
        <v>0.15093858506949687</v>
      </c>
      <c r="L53" t="str">
        <f t="shared" si="7"/>
        <v>Good</v>
      </c>
    </row>
    <row r="54" spans="1:12" x14ac:dyDescent="0.3">
      <c r="A54" t="s">
        <v>205</v>
      </c>
      <c r="B54" t="s">
        <v>113</v>
      </c>
      <c r="C54">
        <v>35.835105620223999</v>
      </c>
      <c r="D54">
        <v>36.473961957029502</v>
      </c>
      <c r="E54" t="s">
        <v>96</v>
      </c>
      <c r="F54" t="s">
        <v>135</v>
      </c>
      <c r="G54">
        <v>0</v>
      </c>
      <c r="H54">
        <v>0</v>
      </c>
      <c r="I54">
        <f t="shared" si="4"/>
        <v>3</v>
      </c>
      <c r="J54">
        <f t="shared" si="5"/>
        <v>4.6958914346862555</v>
      </c>
      <c r="K54">
        <f t="shared" si="6"/>
        <v>0.63885633680550313</v>
      </c>
      <c r="L54" t="str">
        <f t="shared" si="7"/>
        <v>Good</v>
      </c>
    </row>
    <row r="55" spans="1:12" x14ac:dyDescent="0.3">
      <c r="A55" t="s">
        <v>206</v>
      </c>
      <c r="B55" t="s">
        <v>113</v>
      </c>
      <c r="C55">
        <v>36.473961957029502</v>
      </c>
      <c r="D55">
        <v>36.659919897427798</v>
      </c>
      <c r="E55" t="s">
        <v>79</v>
      </c>
      <c r="F55" t="s">
        <v>152</v>
      </c>
      <c r="G55">
        <v>0</v>
      </c>
      <c r="H55">
        <v>0</v>
      </c>
      <c r="I55">
        <f t="shared" si="4"/>
        <v>1</v>
      </c>
      <c r="J55">
        <f t="shared" si="5"/>
        <v>5.3775600969667545</v>
      </c>
      <c r="K55">
        <f t="shared" si="6"/>
        <v>0.18595794039829627</v>
      </c>
      <c r="L55" t="str">
        <f t="shared" si="7"/>
        <v>Good</v>
      </c>
    </row>
    <row r="56" spans="1:12" x14ac:dyDescent="0.3">
      <c r="A56" t="s">
        <v>207</v>
      </c>
      <c r="B56" t="s">
        <v>113</v>
      </c>
      <c r="C56">
        <v>36.659919897427798</v>
      </c>
      <c r="D56">
        <v>37.5334961720989</v>
      </c>
      <c r="E56" t="s">
        <v>93</v>
      </c>
      <c r="F56" t="s">
        <v>119</v>
      </c>
      <c r="G56">
        <v>0</v>
      </c>
      <c r="H56">
        <v>0</v>
      </c>
      <c r="I56">
        <f t="shared" si="4"/>
        <v>3</v>
      </c>
      <c r="J56">
        <f t="shared" si="5"/>
        <v>3.4341591993549607</v>
      </c>
      <c r="K56">
        <f t="shared" si="6"/>
        <v>0.87357627467110177</v>
      </c>
      <c r="L56" t="str">
        <f t="shared" si="7"/>
        <v>Good</v>
      </c>
    </row>
    <row r="57" spans="1:12" x14ac:dyDescent="0.3">
      <c r="A57" t="s">
        <v>208</v>
      </c>
      <c r="B57" t="s">
        <v>113</v>
      </c>
      <c r="C57">
        <v>37.5334961720989</v>
      </c>
      <c r="D57">
        <v>37.829516448859302</v>
      </c>
      <c r="E57" t="s">
        <v>79</v>
      </c>
      <c r="F57" t="s">
        <v>152</v>
      </c>
      <c r="G57">
        <v>0</v>
      </c>
      <c r="H57">
        <v>0</v>
      </c>
      <c r="I57">
        <f t="shared" si="4"/>
        <v>1</v>
      </c>
      <c r="J57">
        <f t="shared" si="5"/>
        <v>3.3781469666329595</v>
      </c>
      <c r="K57">
        <f t="shared" si="6"/>
        <v>0.29602027676040166</v>
      </c>
      <c r="L57" t="str">
        <f t="shared" si="7"/>
        <v>Good</v>
      </c>
    </row>
    <row r="58" spans="1:12" x14ac:dyDescent="0.3">
      <c r="A58" t="s">
        <v>209</v>
      </c>
      <c r="B58" t="s">
        <v>113</v>
      </c>
      <c r="C58">
        <v>37.829516448859302</v>
      </c>
      <c r="D58">
        <v>38.699982064442402</v>
      </c>
      <c r="E58" t="s">
        <v>96</v>
      </c>
      <c r="F58" t="s">
        <v>154</v>
      </c>
      <c r="G58">
        <v>0</v>
      </c>
      <c r="H58">
        <v>0</v>
      </c>
      <c r="I58">
        <f t="shared" si="4"/>
        <v>3</v>
      </c>
      <c r="J58">
        <f t="shared" si="5"/>
        <v>3.4464313653450684</v>
      </c>
      <c r="K58">
        <f t="shared" si="6"/>
        <v>0.87046561558310032</v>
      </c>
      <c r="L58" t="str">
        <f t="shared" si="7"/>
        <v>Good</v>
      </c>
    </row>
    <row r="59" spans="1:12" x14ac:dyDescent="0.3">
      <c r="A59" t="s">
        <v>210</v>
      </c>
      <c r="B59" t="s">
        <v>113</v>
      </c>
      <c r="C59">
        <v>38.699982064442402</v>
      </c>
      <c r="D59">
        <v>40.701626157853497</v>
      </c>
      <c r="E59" t="s">
        <v>79</v>
      </c>
      <c r="F59" t="s">
        <v>152</v>
      </c>
      <c r="G59">
        <v>0</v>
      </c>
      <c r="H59">
        <v>0</v>
      </c>
      <c r="I59">
        <f t="shared" si="4"/>
        <v>1</v>
      </c>
      <c r="J59">
        <f t="shared" si="5"/>
        <v>0.49958931425009406</v>
      </c>
      <c r="K59">
        <f t="shared" si="6"/>
        <v>2.0016440934110946</v>
      </c>
      <c r="L59" t="str">
        <f t="shared" si="7"/>
        <v>Good</v>
      </c>
    </row>
    <row r="60" spans="1:12" x14ac:dyDescent="0.3">
      <c r="A60" t="s">
        <v>213</v>
      </c>
      <c r="B60" t="s">
        <v>113</v>
      </c>
      <c r="C60">
        <v>40.701626157853497</v>
      </c>
      <c r="D60">
        <v>41.544074074520204</v>
      </c>
      <c r="E60" t="s">
        <v>116</v>
      </c>
      <c r="F60" t="s">
        <v>141</v>
      </c>
      <c r="G60">
        <v>0</v>
      </c>
      <c r="H60">
        <v>0</v>
      </c>
      <c r="I60">
        <f t="shared" si="4"/>
        <v>5</v>
      </c>
      <c r="J60">
        <f t="shared" si="5"/>
        <v>5.9350850077276913</v>
      </c>
      <c r="K60">
        <f t="shared" si="6"/>
        <v>0.84244791666670693</v>
      </c>
      <c r="L60" t="str">
        <f t="shared" si="7"/>
        <v>Good</v>
      </c>
    </row>
    <row r="61" spans="1:12" x14ac:dyDescent="0.3">
      <c r="A61" t="s">
        <v>214</v>
      </c>
      <c r="B61" t="s">
        <v>113</v>
      </c>
      <c r="C61">
        <v>41.544074074520204</v>
      </c>
      <c r="D61">
        <v>41.6239442425112</v>
      </c>
      <c r="E61" t="s">
        <v>79</v>
      </c>
      <c r="F61" t="s">
        <v>152</v>
      </c>
      <c r="G61">
        <v>0</v>
      </c>
      <c r="H61">
        <v>0</v>
      </c>
      <c r="I61">
        <f t="shared" si="4"/>
        <v>1</v>
      </c>
      <c r="J61">
        <f t="shared" si="5"/>
        <v>12.520319227483323</v>
      </c>
      <c r="K61">
        <f t="shared" si="6"/>
        <v>7.9870167990996777E-2</v>
      </c>
      <c r="L61" t="str">
        <f t="shared" si="7"/>
        <v>Good</v>
      </c>
    </row>
    <row r="62" spans="1:12" x14ac:dyDescent="0.3">
      <c r="A62" t="s">
        <v>215</v>
      </c>
      <c r="B62" t="s">
        <v>113</v>
      </c>
      <c r="C62">
        <v>41.6239442425112</v>
      </c>
      <c r="D62">
        <v>42.246114005075697</v>
      </c>
      <c r="E62" t="s">
        <v>98</v>
      </c>
      <c r="F62" t="s">
        <v>141</v>
      </c>
      <c r="G62">
        <v>0</v>
      </c>
      <c r="H62">
        <v>0</v>
      </c>
      <c r="I62">
        <f t="shared" si="4"/>
        <v>2</v>
      </c>
      <c r="J62">
        <f t="shared" si="5"/>
        <v>3.2145567340918029</v>
      </c>
      <c r="K62">
        <f t="shared" si="6"/>
        <v>0.62216976256449641</v>
      </c>
      <c r="L62" t="str">
        <f t="shared" si="7"/>
        <v>Good</v>
      </c>
    </row>
    <row r="63" spans="1:12" x14ac:dyDescent="0.3">
      <c r="A63" t="s">
        <v>216</v>
      </c>
      <c r="B63" t="s">
        <v>113</v>
      </c>
      <c r="C63">
        <v>42.246114005075697</v>
      </c>
      <c r="D63">
        <v>42.311925152926101</v>
      </c>
      <c r="E63" t="s">
        <v>79</v>
      </c>
      <c r="F63" t="s">
        <v>152</v>
      </c>
      <c r="G63">
        <v>0</v>
      </c>
      <c r="H63">
        <v>0</v>
      </c>
      <c r="I63">
        <f t="shared" si="4"/>
        <v>1</v>
      </c>
      <c r="J63">
        <f t="shared" si="5"/>
        <v>15.194994049839559</v>
      </c>
      <c r="K63">
        <f t="shared" si="6"/>
        <v>6.5811147850403984E-2</v>
      </c>
      <c r="L63" t="str">
        <f t="shared" si="7"/>
        <v>Good</v>
      </c>
    </row>
    <row r="64" spans="1:12" x14ac:dyDescent="0.3">
      <c r="A64" t="s">
        <v>217</v>
      </c>
      <c r="B64" t="s">
        <v>113</v>
      </c>
      <c r="C64">
        <v>42.311925152926101</v>
      </c>
      <c r="D64">
        <v>42.7097371230183</v>
      </c>
      <c r="E64" t="s">
        <v>91</v>
      </c>
      <c r="F64" t="s">
        <v>153</v>
      </c>
      <c r="G64">
        <v>0</v>
      </c>
      <c r="H64">
        <v>0</v>
      </c>
      <c r="I64">
        <f t="shared" si="4"/>
        <v>1</v>
      </c>
      <c r="J64">
        <f t="shared" si="5"/>
        <v>2.513750402654384</v>
      </c>
      <c r="K64">
        <f t="shared" si="6"/>
        <v>0.39781197009219937</v>
      </c>
      <c r="L64" t="str">
        <f t="shared" si="7"/>
        <v>Good</v>
      </c>
    </row>
    <row r="65" spans="1:12" x14ac:dyDescent="0.3">
      <c r="A65" t="s">
        <v>218</v>
      </c>
      <c r="B65" t="s">
        <v>113</v>
      </c>
      <c r="C65">
        <v>42.7097371230183</v>
      </c>
      <c r="D65">
        <v>42.820051180886701</v>
      </c>
      <c r="E65" t="s">
        <v>79</v>
      </c>
      <c r="F65" t="s">
        <v>152</v>
      </c>
      <c r="G65">
        <v>0</v>
      </c>
      <c r="H65">
        <v>0</v>
      </c>
      <c r="I65">
        <f t="shared" si="4"/>
        <v>1</v>
      </c>
      <c r="J65">
        <f t="shared" si="5"/>
        <v>9.0650277881442154</v>
      </c>
      <c r="K65">
        <f t="shared" si="6"/>
        <v>0.11031405786840054</v>
      </c>
      <c r="L65" t="str">
        <f t="shared" si="7"/>
        <v>Good</v>
      </c>
    </row>
    <row r="66" spans="1:12" x14ac:dyDescent="0.3">
      <c r="A66" t="s">
        <v>219</v>
      </c>
      <c r="B66" t="s">
        <v>113</v>
      </c>
      <c r="C66">
        <v>42.820051180886701</v>
      </c>
      <c r="D66">
        <v>43.510339407627498</v>
      </c>
      <c r="E66" t="s">
        <v>99</v>
      </c>
      <c r="F66" t="s">
        <v>141</v>
      </c>
      <c r="G66">
        <v>0</v>
      </c>
      <c r="H66">
        <v>0</v>
      </c>
      <c r="I66">
        <f t="shared" si="4"/>
        <v>4</v>
      </c>
      <c r="J66">
        <f t="shared" ref="J66:J68" si="8">I66/K66</f>
        <v>5.7946808956688116</v>
      </c>
      <c r="K66">
        <f t="shared" si="6"/>
        <v>0.69028822674079748</v>
      </c>
      <c r="L66" t="str">
        <f t="shared" ref="L66:L68" si="9">IF(AND(K66&lt;0.04, F66 = "silence"), "Bad","Good")</f>
        <v>Good</v>
      </c>
    </row>
    <row r="67" spans="1:12" x14ac:dyDescent="0.3">
      <c r="A67" t="s">
        <v>220</v>
      </c>
      <c r="B67" t="s">
        <v>113</v>
      </c>
      <c r="C67">
        <v>43.510339407627498</v>
      </c>
      <c r="D67">
        <v>43.759234679563498</v>
      </c>
      <c r="E67" t="s">
        <v>79</v>
      </c>
      <c r="F67" t="s">
        <v>152</v>
      </c>
      <c r="G67">
        <v>0</v>
      </c>
      <c r="H67">
        <v>0</v>
      </c>
      <c r="I67">
        <f t="shared" si="4"/>
        <v>1</v>
      </c>
      <c r="J67">
        <f t="shared" si="8"/>
        <v>4.0177541028466628</v>
      </c>
      <c r="K67">
        <f t="shared" si="6"/>
        <v>0.24889527193600003</v>
      </c>
      <c r="L67" t="str">
        <f t="shared" si="9"/>
        <v>Good</v>
      </c>
    </row>
    <row r="68" spans="1:12" x14ac:dyDescent="0.3">
      <c r="A68" t="s">
        <v>221</v>
      </c>
      <c r="B68" t="s">
        <v>113</v>
      </c>
      <c r="C68">
        <v>43.759234679563498</v>
      </c>
      <c r="D68">
        <v>44.768072562358199</v>
      </c>
      <c r="E68" t="s">
        <v>91</v>
      </c>
      <c r="F68" t="s">
        <v>153</v>
      </c>
      <c r="G68">
        <v>0</v>
      </c>
      <c r="H68">
        <v>0</v>
      </c>
      <c r="I68">
        <f t="shared" si="4"/>
        <v>1</v>
      </c>
      <c r="J68">
        <f t="shared" si="8"/>
        <v>0.99123954111415979</v>
      </c>
      <c r="K68">
        <f t="shared" si="6"/>
        <v>1.0088378827947011</v>
      </c>
      <c r="L68" t="str">
        <f t="shared" si="9"/>
        <v>Good</v>
      </c>
    </row>
  </sheetData>
  <autoFilter ref="A1:L69" xr:uid="{F36ED784-3A2D-49BB-AC0B-2A72377041EE}"/>
  <sortState xmlns:xlrd2="http://schemas.microsoft.com/office/spreadsheetml/2017/richdata2" ref="A2:L68">
    <sortCondition ref="B2:B70"/>
  </sortState>
  <phoneticPr fontId="18" type="noConversion"/>
  <conditionalFormatting sqref="L1:L1048576">
    <cfRule type="containsText" dxfId="2" priority="1" operator="containsText" text="Bad">
      <formula>NOT(ISERROR(SEARCH("Bad",L1)))</formula>
    </cfRule>
  </conditionalFormatting>
  <dataValidations count="1">
    <dataValidation type="list" allowBlank="1" showInputMessage="1" showErrorMessage="1" sqref="F1:F3 F5 F7 F9 F11 F13 F19 F15:F17 F21 F23:F25 F27:F29 F31 F33 F35:F37 F39 F41:F42 F44:F45 F47 F49:F51 F67:F1048576 F59 F61 F63:F65 F53 F55:F57" xr:uid="{261016A5-BF1F-464C-96DE-7C304EAA0129}">
      <formula1>$N$2:$N$27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7611D-785D-4EF2-AC00-3EE69642B77C}">
  <sheetPr codeName="Sheet4" filterMode="1"/>
  <dimension ref="A1:AJ34"/>
  <sheetViews>
    <sheetView workbookViewId="0">
      <selection activeCell="C1" sqref="C1:C1048576"/>
    </sheetView>
  </sheetViews>
  <sheetFormatPr defaultRowHeight="15" x14ac:dyDescent="0.3"/>
  <cols>
    <col min="1" max="1" width="19.625" customWidth="1"/>
    <col min="3" max="3" width="27.125" customWidth="1"/>
    <col min="4" max="4" width="21" customWidth="1"/>
    <col min="6" max="6" width="18.625" customWidth="1"/>
  </cols>
  <sheetData>
    <row r="1" spans="1:36" x14ac:dyDescent="0.3">
      <c r="A1" t="s">
        <v>223</v>
      </c>
      <c r="B1" t="s">
        <v>151</v>
      </c>
      <c r="C1" t="s">
        <v>225</v>
      </c>
      <c r="D1" t="s">
        <v>107</v>
      </c>
      <c r="E1" t="s">
        <v>111</v>
      </c>
      <c r="F1" t="s">
        <v>145</v>
      </c>
      <c r="G1" t="s">
        <v>146</v>
      </c>
      <c r="H1" t="s">
        <v>150</v>
      </c>
      <c r="I1" t="s">
        <v>147</v>
      </c>
      <c r="J1" t="s">
        <v>148</v>
      </c>
      <c r="K1" t="s">
        <v>149</v>
      </c>
      <c r="L1" t="s">
        <v>226</v>
      </c>
      <c r="M1" t="s">
        <v>227</v>
      </c>
      <c r="N1" t="s">
        <v>228</v>
      </c>
      <c r="O1" t="s">
        <v>229</v>
      </c>
      <c r="P1" t="s">
        <v>230</v>
      </c>
      <c r="Q1" t="s">
        <v>231</v>
      </c>
      <c r="R1" t="s">
        <v>232</v>
      </c>
      <c r="S1" t="s">
        <v>233</v>
      </c>
      <c r="T1" t="s">
        <v>234</v>
      </c>
      <c r="U1" t="s">
        <v>235</v>
      </c>
      <c r="V1" t="s">
        <v>236</v>
      </c>
      <c r="W1" t="s">
        <v>237</v>
      </c>
      <c r="X1" t="s">
        <v>238</v>
      </c>
      <c r="Y1" t="s">
        <v>239</v>
      </c>
      <c r="Z1" t="s">
        <v>240</v>
      </c>
      <c r="AA1" t="s">
        <v>241</v>
      </c>
      <c r="AB1" t="s">
        <v>242</v>
      </c>
      <c r="AC1" t="s">
        <v>243</v>
      </c>
      <c r="AD1" t="s">
        <v>244</v>
      </c>
      <c r="AE1" t="s">
        <v>245</v>
      </c>
      <c r="AF1" t="s">
        <v>246</v>
      </c>
      <c r="AG1" t="s">
        <v>247</v>
      </c>
      <c r="AH1" t="s">
        <v>248</v>
      </c>
      <c r="AI1" t="s">
        <v>249</v>
      </c>
      <c r="AJ1" t="s">
        <v>250</v>
      </c>
    </row>
    <row r="2" spans="1:36" hidden="1" x14ac:dyDescent="0.3">
      <c r="A2" t="s">
        <v>255</v>
      </c>
      <c r="B2" t="s">
        <v>224</v>
      </c>
      <c r="C2" t="s">
        <v>251</v>
      </c>
      <c r="D2" t="s">
        <v>100</v>
      </c>
      <c r="E2" t="s">
        <v>114</v>
      </c>
      <c r="F2" t="s">
        <v>134</v>
      </c>
      <c r="G2">
        <v>1</v>
      </c>
      <c r="H2">
        <v>0</v>
      </c>
      <c r="I2">
        <v>4</v>
      </c>
      <c r="J2">
        <v>2.374034003091237</v>
      </c>
      <c r="K2">
        <v>1.6848958333333002</v>
      </c>
    </row>
    <row r="3" spans="1:36" hidden="1" x14ac:dyDescent="0.3">
      <c r="A3" t="s">
        <v>256</v>
      </c>
      <c r="B3" t="s">
        <v>224</v>
      </c>
      <c r="C3" t="s">
        <v>252</v>
      </c>
      <c r="D3" t="s">
        <v>101</v>
      </c>
      <c r="E3" t="s">
        <v>114</v>
      </c>
      <c r="F3" t="s">
        <v>134</v>
      </c>
      <c r="G3">
        <v>0</v>
      </c>
      <c r="H3">
        <v>0</v>
      </c>
      <c r="I3">
        <v>1</v>
      </c>
      <c r="J3">
        <v>1.3364687554004082</v>
      </c>
      <c r="K3">
        <v>0.74824046275619693</v>
      </c>
    </row>
    <row r="4" spans="1:36" hidden="1" x14ac:dyDescent="0.3">
      <c r="A4" t="s">
        <v>257</v>
      </c>
      <c r="B4" t="s">
        <v>224</v>
      </c>
      <c r="C4" t="s">
        <v>253</v>
      </c>
      <c r="D4" t="s">
        <v>117</v>
      </c>
      <c r="E4" t="s">
        <v>114</v>
      </c>
      <c r="F4" t="s">
        <v>134</v>
      </c>
      <c r="G4">
        <v>1</v>
      </c>
      <c r="H4">
        <v>0</v>
      </c>
      <c r="I4">
        <v>5</v>
      </c>
      <c r="J4">
        <v>3.3939124757980292</v>
      </c>
      <c r="K4">
        <v>1.4732259702202022</v>
      </c>
    </row>
    <row r="5" spans="1:36" hidden="1" x14ac:dyDescent="0.3">
      <c r="A5" t="s">
        <v>258</v>
      </c>
      <c r="B5" t="s">
        <v>224</v>
      </c>
      <c r="C5" t="s">
        <v>254</v>
      </c>
      <c r="D5" t="s">
        <v>115</v>
      </c>
      <c r="E5" t="s">
        <v>114</v>
      </c>
      <c r="F5" t="s">
        <v>141</v>
      </c>
      <c r="G5">
        <v>0</v>
      </c>
      <c r="H5">
        <v>0</v>
      </c>
      <c r="I5">
        <v>3</v>
      </c>
      <c r="J5">
        <v>3.5269640288064572</v>
      </c>
      <c r="K5">
        <v>0.85058990551009828</v>
      </c>
    </row>
    <row r="6" spans="1:36" x14ac:dyDescent="0.3">
      <c r="A6" t="s">
        <v>279</v>
      </c>
      <c r="B6" t="s">
        <v>224</v>
      </c>
      <c r="C6" t="s">
        <v>259</v>
      </c>
      <c r="D6" t="s">
        <v>80</v>
      </c>
      <c r="E6" t="s">
        <v>113</v>
      </c>
      <c r="F6" t="s">
        <v>122</v>
      </c>
      <c r="G6">
        <v>0</v>
      </c>
      <c r="H6">
        <v>0</v>
      </c>
      <c r="I6">
        <v>1</v>
      </c>
      <c r="J6">
        <v>5.6976816074188523</v>
      </c>
      <c r="K6">
        <v>0.17550998263888901</v>
      </c>
    </row>
    <row r="7" spans="1:36" x14ac:dyDescent="0.3">
      <c r="A7" t="s">
        <v>280</v>
      </c>
      <c r="B7" t="s">
        <v>224</v>
      </c>
      <c r="C7" t="s">
        <v>260</v>
      </c>
      <c r="D7" t="s">
        <v>222</v>
      </c>
      <c r="E7" t="s">
        <v>113</v>
      </c>
      <c r="F7" t="s">
        <v>122</v>
      </c>
      <c r="G7">
        <v>0</v>
      </c>
      <c r="H7">
        <v>0</v>
      </c>
      <c r="I7">
        <v>2</v>
      </c>
      <c r="J7">
        <v>5.1562729478902938</v>
      </c>
      <c r="K7">
        <v>0.38787706163195002</v>
      </c>
    </row>
    <row r="8" spans="1:36" x14ac:dyDescent="0.3">
      <c r="A8" t="s">
        <v>281</v>
      </c>
      <c r="B8" t="s">
        <v>224</v>
      </c>
      <c r="C8" t="s">
        <v>261</v>
      </c>
      <c r="D8" t="s">
        <v>82</v>
      </c>
      <c r="E8" t="s">
        <v>113</v>
      </c>
      <c r="F8" t="s">
        <v>122</v>
      </c>
      <c r="G8">
        <v>0</v>
      </c>
      <c r="H8">
        <v>0</v>
      </c>
      <c r="I8">
        <v>2</v>
      </c>
      <c r="J8">
        <v>3.1134872171687893</v>
      </c>
      <c r="K8">
        <v>0.6423665364583302</v>
      </c>
    </row>
    <row r="9" spans="1:36" x14ac:dyDescent="0.3">
      <c r="A9" t="s">
        <v>282</v>
      </c>
      <c r="B9" t="s">
        <v>224</v>
      </c>
      <c r="C9" t="s">
        <v>262</v>
      </c>
      <c r="D9" t="s">
        <v>83</v>
      </c>
      <c r="E9" t="s">
        <v>113</v>
      </c>
      <c r="F9" t="s">
        <v>125</v>
      </c>
      <c r="G9">
        <v>0</v>
      </c>
      <c r="H9">
        <v>0</v>
      </c>
      <c r="I9">
        <v>4</v>
      </c>
      <c r="J9">
        <v>5.0072726073638156</v>
      </c>
      <c r="K9">
        <v>0.79883807286975017</v>
      </c>
    </row>
    <row r="10" spans="1:36" x14ac:dyDescent="0.3">
      <c r="A10" t="s">
        <v>283</v>
      </c>
      <c r="B10" t="s">
        <v>224</v>
      </c>
      <c r="C10" t="s">
        <v>263</v>
      </c>
      <c r="D10" t="s">
        <v>84</v>
      </c>
      <c r="E10" t="s">
        <v>113</v>
      </c>
      <c r="F10" t="s">
        <v>125</v>
      </c>
      <c r="G10">
        <v>0</v>
      </c>
      <c r="H10">
        <v>0</v>
      </c>
      <c r="I10">
        <v>5</v>
      </c>
      <c r="J10">
        <v>4.9373110315426434</v>
      </c>
      <c r="K10">
        <v>1.0126969858809503</v>
      </c>
    </row>
    <row r="11" spans="1:36" x14ac:dyDescent="0.3">
      <c r="A11" t="s">
        <v>284</v>
      </c>
      <c r="B11" t="s">
        <v>224</v>
      </c>
      <c r="C11" t="s">
        <v>264</v>
      </c>
      <c r="D11" t="s">
        <v>85</v>
      </c>
      <c r="E11" t="s">
        <v>113</v>
      </c>
      <c r="F11" t="s">
        <v>119</v>
      </c>
      <c r="G11">
        <v>0</v>
      </c>
      <c r="H11">
        <v>0</v>
      </c>
      <c r="I11">
        <v>3</v>
      </c>
      <c r="J11">
        <v>1.3745914613797026</v>
      </c>
      <c r="K11">
        <v>2.1824666341145793</v>
      </c>
    </row>
    <row r="12" spans="1:36" x14ac:dyDescent="0.3">
      <c r="A12" t="s">
        <v>285</v>
      </c>
      <c r="B12" t="s">
        <v>224</v>
      </c>
      <c r="C12" t="s">
        <v>265</v>
      </c>
      <c r="D12" t="s">
        <v>86</v>
      </c>
      <c r="E12" t="s">
        <v>113</v>
      </c>
      <c r="F12" t="s">
        <v>154</v>
      </c>
      <c r="G12">
        <v>0</v>
      </c>
      <c r="H12">
        <v>0</v>
      </c>
      <c r="I12">
        <v>1</v>
      </c>
      <c r="J12">
        <v>3.7484747417216693</v>
      </c>
      <c r="K12">
        <v>0.26677517361120096</v>
      </c>
    </row>
    <row r="13" spans="1:36" x14ac:dyDescent="0.3">
      <c r="A13" t="s">
        <v>286</v>
      </c>
      <c r="B13" t="s">
        <v>224</v>
      </c>
      <c r="C13" t="s">
        <v>266</v>
      </c>
      <c r="D13" t="s">
        <v>87</v>
      </c>
      <c r="E13" t="s">
        <v>113</v>
      </c>
      <c r="F13" t="s">
        <v>119</v>
      </c>
      <c r="G13">
        <v>0</v>
      </c>
      <c r="H13">
        <v>0</v>
      </c>
      <c r="I13">
        <v>2</v>
      </c>
      <c r="J13">
        <v>1.6705254945079839</v>
      </c>
      <c r="K13">
        <v>1.1972280618136004</v>
      </c>
    </row>
    <row r="14" spans="1:36" x14ac:dyDescent="0.3">
      <c r="A14" t="s">
        <v>287</v>
      </c>
      <c r="B14" t="s">
        <v>224</v>
      </c>
      <c r="C14" t="s">
        <v>267</v>
      </c>
      <c r="D14" t="s">
        <v>88</v>
      </c>
      <c r="E14" t="s">
        <v>113</v>
      </c>
      <c r="F14" t="s">
        <v>130</v>
      </c>
      <c r="G14">
        <v>0</v>
      </c>
      <c r="H14">
        <v>0</v>
      </c>
      <c r="I14">
        <v>7</v>
      </c>
      <c r="J14">
        <v>7.3492060338378495</v>
      </c>
      <c r="K14">
        <v>0.95248384216879955</v>
      </c>
    </row>
    <row r="15" spans="1:36" x14ac:dyDescent="0.3">
      <c r="A15" t="s">
        <v>288</v>
      </c>
      <c r="B15" t="s">
        <v>224</v>
      </c>
      <c r="C15" t="s">
        <v>268</v>
      </c>
      <c r="D15" t="s">
        <v>89</v>
      </c>
      <c r="E15" t="s">
        <v>113</v>
      </c>
      <c r="F15" t="s">
        <v>119</v>
      </c>
      <c r="G15">
        <v>0</v>
      </c>
      <c r="H15">
        <v>0</v>
      </c>
      <c r="I15">
        <v>4</v>
      </c>
      <c r="J15">
        <v>3.3248765860382292</v>
      </c>
      <c r="K15">
        <v>1.2030521724616001</v>
      </c>
    </row>
    <row r="16" spans="1:36" x14ac:dyDescent="0.3">
      <c r="A16" t="s">
        <v>289</v>
      </c>
      <c r="B16" t="s">
        <v>224</v>
      </c>
      <c r="C16" t="s">
        <v>269</v>
      </c>
      <c r="D16" t="s">
        <v>90</v>
      </c>
      <c r="E16" t="s">
        <v>113</v>
      </c>
      <c r="F16" t="s">
        <v>154</v>
      </c>
      <c r="G16">
        <v>0</v>
      </c>
      <c r="H16">
        <v>0</v>
      </c>
      <c r="I16">
        <v>1</v>
      </c>
      <c r="J16">
        <v>3.8499801610065658</v>
      </c>
      <c r="K16">
        <v>0.25974159818489895</v>
      </c>
    </row>
    <row r="17" spans="1:11" x14ac:dyDescent="0.3">
      <c r="A17" t="s">
        <v>290</v>
      </c>
      <c r="B17" t="s">
        <v>224</v>
      </c>
      <c r="C17" t="s">
        <v>270</v>
      </c>
      <c r="D17" t="s">
        <v>91</v>
      </c>
      <c r="E17" t="s">
        <v>113</v>
      </c>
      <c r="F17" t="s">
        <v>153</v>
      </c>
      <c r="G17">
        <v>1</v>
      </c>
      <c r="H17">
        <v>0</v>
      </c>
      <c r="I17">
        <v>1</v>
      </c>
      <c r="J17">
        <v>2.2084037238059269</v>
      </c>
      <c r="K17">
        <v>0.45281575520829875</v>
      </c>
    </row>
    <row r="18" spans="1:11" x14ac:dyDescent="0.3">
      <c r="A18" t="s">
        <v>291</v>
      </c>
      <c r="B18" t="s">
        <v>224</v>
      </c>
      <c r="C18" t="s">
        <v>271</v>
      </c>
      <c r="D18" t="s">
        <v>92</v>
      </c>
      <c r="E18" t="s">
        <v>113</v>
      </c>
      <c r="F18" t="s">
        <v>132</v>
      </c>
      <c r="G18">
        <v>0</v>
      </c>
      <c r="H18">
        <v>0</v>
      </c>
      <c r="I18">
        <v>3</v>
      </c>
      <c r="J18">
        <v>5.0273661241932945</v>
      </c>
      <c r="K18">
        <v>0.59673394097220012</v>
      </c>
    </row>
    <row r="19" spans="1:11" x14ac:dyDescent="0.3">
      <c r="A19" t="s">
        <v>292</v>
      </c>
      <c r="B19" t="s">
        <v>224</v>
      </c>
      <c r="C19" t="s">
        <v>272</v>
      </c>
      <c r="D19" t="s">
        <v>93</v>
      </c>
      <c r="E19" t="s">
        <v>113</v>
      </c>
      <c r="F19" t="s">
        <v>119</v>
      </c>
      <c r="G19">
        <v>0</v>
      </c>
      <c r="H19">
        <v>0</v>
      </c>
      <c r="I19">
        <v>3</v>
      </c>
      <c r="J19">
        <v>1.4885868408746359</v>
      </c>
      <c r="K19">
        <v>2.0153342200965021</v>
      </c>
    </row>
    <row r="20" spans="1:11" x14ac:dyDescent="0.3">
      <c r="A20" t="s">
        <v>293</v>
      </c>
      <c r="B20" t="s">
        <v>224</v>
      </c>
      <c r="C20" t="s">
        <v>272</v>
      </c>
      <c r="D20" t="s">
        <v>93</v>
      </c>
      <c r="E20" t="s">
        <v>113</v>
      </c>
      <c r="F20" t="s">
        <v>119</v>
      </c>
      <c r="G20">
        <v>0</v>
      </c>
      <c r="H20">
        <v>0</v>
      </c>
      <c r="I20">
        <v>3</v>
      </c>
      <c r="J20">
        <v>3.9686144389901257</v>
      </c>
      <c r="K20">
        <v>0.75593133223679843</v>
      </c>
    </row>
    <row r="21" spans="1:11" x14ac:dyDescent="0.3">
      <c r="A21" t="s">
        <v>294</v>
      </c>
      <c r="B21" t="s">
        <v>224</v>
      </c>
      <c r="C21" t="s">
        <v>273</v>
      </c>
      <c r="D21" t="s">
        <v>94</v>
      </c>
      <c r="E21" t="s">
        <v>113</v>
      </c>
      <c r="F21" t="s">
        <v>142</v>
      </c>
      <c r="G21">
        <v>0</v>
      </c>
      <c r="H21">
        <v>0</v>
      </c>
      <c r="I21">
        <v>1</v>
      </c>
      <c r="J21">
        <v>3.4612663001339503</v>
      </c>
      <c r="K21">
        <v>0.28891160439209784</v>
      </c>
    </row>
    <row r="22" spans="1:11" x14ac:dyDescent="0.3">
      <c r="A22" t="s">
        <v>295</v>
      </c>
      <c r="B22" t="s">
        <v>224</v>
      </c>
      <c r="C22" t="s">
        <v>264</v>
      </c>
      <c r="D22" t="s">
        <v>85</v>
      </c>
      <c r="E22" t="s">
        <v>113</v>
      </c>
      <c r="F22" t="s">
        <v>119</v>
      </c>
      <c r="G22">
        <v>0</v>
      </c>
      <c r="H22">
        <v>0</v>
      </c>
      <c r="I22">
        <v>3</v>
      </c>
      <c r="J22">
        <v>2.7691424140555139</v>
      </c>
      <c r="K22">
        <v>1.0833678993079978</v>
      </c>
    </row>
    <row r="23" spans="1:11" x14ac:dyDescent="0.3">
      <c r="A23" t="s">
        <v>296</v>
      </c>
      <c r="B23" t="s">
        <v>224</v>
      </c>
      <c r="C23" t="s">
        <v>269</v>
      </c>
      <c r="D23" t="s">
        <v>90</v>
      </c>
      <c r="E23" t="s">
        <v>113</v>
      </c>
      <c r="F23" t="s">
        <v>154</v>
      </c>
      <c r="G23">
        <v>1</v>
      </c>
      <c r="H23">
        <v>0</v>
      </c>
      <c r="I23">
        <v>1</v>
      </c>
      <c r="J23">
        <v>2.1002823166629696</v>
      </c>
      <c r="K23">
        <v>0.47612646741169939</v>
      </c>
    </row>
    <row r="24" spans="1:11" x14ac:dyDescent="0.3">
      <c r="A24" t="s">
        <v>297</v>
      </c>
      <c r="B24" t="s">
        <v>224</v>
      </c>
      <c r="C24" t="s">
        <v>272</v>
      </c>
      <c r="D24" t="s">
        <v>93</v>
      </c>
      <c r="E24" t="s">
        <v>113</v>
      </c>
      <c r="F24" t="s">
        <v>119</v>
      </c>
      <c r="G24">
        <v>0</v>
      </c>
      <c r="H24">
        <v>0</v>
      </c>
      <c r="I24">
        <v>3</v>
      </c>
      <c r="J24">
        <v>3.4341591993549607</v>
      </c>
      <c r="K24">
        <v>0.87357627467110177</v>
      </c>
    </row>
    <row r="25" spans="1:11" x14ac:dyDescent="0.3">
      <c r="A25" t="s">
        <v>298</v>
      </c>
      <c r="B25" t="s">
        <v>224</v>
      </c>
      <c r="C25" t="s">
        <v>274</v>
      </c>
      <c r="D25" t="s">
        <v>95</v>
      </c>
      <c r="E25" t="s">
        <v>113</v>
      </c>
      <c r="F25" t="s">
        <v>135</v>
      </c>
      <c r="G25">
        <v>0</v>
      </c>
      <c r="H25">
        <v>0</v>
      </c>
      <c r="I25">
        <v>4</v>
      </c>
      <c r="J25">
        <v>4.565796421237537</v>
      </c>
      <c r="K25">
        <v>0.87607935855270114</v>
      </c>
    </row>
    <row r="26" spans="1:11" x14ac:dyDescent="0.3">
      <c r="A26" t="s">
        <v>299</v>
      </c>
      <c r="B26" t="s">
        <v>224</v>
      </c>
      <c r="C26" t="s">
        <v>269</v>
      </c>
      <c r="D26" t="s">
        <v>90</v>
      </c>
      <c r="E26" t="s">
        <v>113</v>
      </c>
      <c r="F26" t="s">
        <v>154</v>
      </c>
      <c r="G26">
        <v>0</v>
      </c>
      <c r="H26">
        <v>0</v>
      </c>
      <c r="I26">
        <v>1</v>
      </c>
      <c r="J26">
        <v>4.5949045221123876</v>
      </c>
      <c r="K26">
        <v>0.21763237847220296</v>
      </c>
    </row>
    <row r="27" spans="1:11" x14ac:dyDescent="0.3">
      <c r="A27" t="s">
        <v>300</v>
      </c>
      <c r="B27" t="s">
        <v>224</v>
      </c>
      <c r="C27" t="s">
        <v>275</v>
      </c>
      <c r="D27" t="s">
        <v>96</v>
      </c>
      <c r="E27" t="s">
        <v>113</v>
      </c>
      <c r="F27" t="s">
        <v>135</v>
      </c>
      <c r="G27">
        <v>0</v>
      </c>
      <c r="H27">
        <v>0</v>
      </c>
      <c r="I27">
        <v>3</v>
      </c>
      <c r="J27">
        <v>4.6958914346862555</v>
      </c>
      <c r="K27">
        <v>0.63885633680550313</v>
      </c>
    </row>
    <row r="28" spans="1:11" x14ac:dyDescent="0.3">
      <c r="A28" t="s">
        <v>301</v>
      </c>
      <c r="B28" t="s">
        <v>224</v>
      </c>
      <c r="C28" t="s">
        <v>272</v>
      </c>
      <c r="D28" t="s">
        <v>93</v>
      </c>
      <c r="E28" t="s">
        <v>113</v>
      </c>
      <c r="F28" t="s">
        <v>119</v>
      </c>
      <c r="G28">
        <v>0</v>
      </c>
      <c r="H28">
        <v>0</v>
      </c>
      <c r="I28">
        <v>3</v>
      </c>
      <c r="J28">
        <v>3.4341591993549607</v>
      </c>
      <c r="K28">
        <v>0.87357627467110177</v>
      </c>
    </row>
    <row r="29" spans="1:11" x14ac:dyDescent="0.3">
      <c r="A29" t="s">
        <v>302</v>
      </c>
      <c r="B29" t="s">
        <v>224</v>
      </c>
      <c r="C29" t="s">
        <v>275</v>
      </c>
      <c r="D29" t="s">
        <v>96</v>
      </c>
      <c r="E29" t="s">
        <v>113</v>
      </c>
      <c r="F29" t="s">
        <v>154</v>
      </c>
      <c r="G29">
        <v>0</v>
      </c>
      <c r="H29">
        <v>0</v>
      </c>
      <c r="I29">
        <v>3</v>
      </c>
      <c r="J29">
        <v>3.4464313653450684</v>
      </c>
      <c r="K29">
        <v>0.87046561558310032</v>
      </c>
    </row>
    <row r="30" spans="1:11" x14ac:dyDescent="0.3">
      <c r="A30" t="s">
        <v>303</v>
      </c>
      <c r="B30" t="s">
        <v>224</v>
      </c>
      <c r="C30" t="s">
        <v>276</v>
      </c>
      <c r="D30" t="s">
        <v>116</v>
      </c>
      <c r="E30" t="s">
        <v>113</v>
      </c>
      <c r="F30" t="s">
        <v>141</v>
      </c>
      <c r="G30">
        <v>0</v>
      </c>
      <c r="H30">
        <v>0</v>
      </c>
      <c r="I30">
        <v>5</v>
      </c>
      <c r="J30">
        <v>5.9350850077276913</v>
      </c>
      <c r="K30">
        <v>0.84244791666670693</v>
      </c>
    </row>
    <row r="31" spans="1:11" x14ac:dyDescent="0.3">
      <c r="A31" t="s">
        <v>304</v>
      </c>
      <c r="B31" t="s">
        <v>224</v>
      </c>
      <c r="C31" t="s">
        <v>277</v>
      </c>
      <c r="D31" t="s">
        <v>98</v>
      </c>
      <c r="E31" t="s">
        <v>113</v>
      </c>
      <c r="F31" t="s">
        <v>141</v>
      </c>
      <c r="G31">
        <v>0</v>
      </c>
      <c r="H31">
        <v>0</v>
      </c>
      <c r="I31">
        <v>2</v>
      </c>
      <c r="J31">
        <v>3.2145567340918029</v>
      </c>
      <c r="K31">
        <v>0.62216976256449641</v>
      </c>
    </row>
    <row r="32" spans="1:11" x14ac:dyDescent="0.3">
      <c r="A32" t="s">
        <v>305</v>
      </c>
      <c r="B32" t="s">
        <v>224</v>
      </c>
      <c r="C32" t="s">
        <v>270</v>
      </c>
      <c r="D32" t="s">
        <v>91</v>
      </c>
      <c r="E32" t="s">
        <v>113</v>
      </c>
      <c r="F32" t="s">
        <v>153</v>
      </c>
      <c r="G32">
        <v>0</v>
      </c>
      <c r="H32">
        <v>0</v>
      </c>
      <c r="I32">
        <v>1</v>
      </c>
      <c r="J32">
        <v>2.513750402654384</v>
      </c>
      <c r="K32">
        <v>0.39781197009219937</v>
      </c>
    </row>
    <row r="33" spans="1:11" x14ac:dyDescent="0.3">
      <c r="A33" t="s">
        <v>306</v>
      </c>
      <c r="B33" t="s">
        <v>224</v>
      </c>
      <c r="C33" t="s">
        <v>278</v>
      </c>
      <c r="D33" t="s">
        <v>99</v>
      </c>
      <c r="E33" t="s">
        <v>113</v>
      </c>
      <c r="F33" t="s">
        <v>141</v>
      </c>
      <c r="G33">
        <v>0</v>
      </c>
      <c r="H33">
        <v>0</v>
      </c>
      <c r="I33">
        <v>4</v>
      </c>
      <c r="J33">
        <v>5.7946808956688116</v>
      </c>
      <c r="K33">
        <v>0.69028822674079748</v>
      </c>
    </row>
    <row r="34" spans="1:11" x14ac:dyDescent="0.3">
      <c r="A34" t="s">
        <v>307</v>
      </c>
      <c r="B34" t="s">
        <v>224</v>
      </c>
      <c r="C34" t="s">
        <v>270</v>
      </c>
      <c r="D34" t="s">
        <v>91</v>
      </c>
      <c r="E34" t="s">
        <v>113</v>
      </c>
      <c r="F34" t="s">
        <v>153</v>
      </c>
      <c r="G34">
        <v>0</v>
      </c>
      <c r="H34">
        <v>0</v>
      </c>
      <c r="I34">
        <v>1</v>
      </c>
      <c r="J34">
        <v>0.99123954111415979</v>
      </c>
      <c r="K34">
        <v>1.0088378827947011</v>
      </c>
    </row>
  </sheetData>
  <autoFilter ref="E1:E34" xr:uid="{6427611D-785D-4EF2-AC00-3EE69642B77C}">
    <filterColumn colId="0">
      <filters>
        <filter val="parent"/>
      </filters>
    </filterColumn>
  </autoFilter>
  <sortState xmlns:xlrd2="http://schemas.microsoft.com/office/spreadsheetml/2017/richdata2" ref="A2:AJ46">
    <sortCondition ref="E2:E46"/>
  </sortState>
  <phoneticPr fontId="18" type="noConversion"/>
  <conditionalFormatting sqref="B1:B1048541">
    <cfRule type="containsText" dxfId="1" priority="2" operator="containsText" text="Bad">
      <formula>NOT(ISERROR(SEARCH("Bad",B1)))</formula>
    </cfRule>
  </conditionalFormatting>
  <conditionalFormatting sqref="L1:U1048576">
    <cfRule type="containsText" dxfId="0" priority="1" operator="containsText" text="undefined">
      <formula>NOT(ISERROR(SEARCH("undefined",L1)))</formula>
    </cfRule>
  </conditionalFormatting>
  <dataValidations count="1">
    <dataValidation type="list" allowBlank="1" showInputMessage="1" showErrorMessage="1" sqref="F1:F5 G9:G10 F8 F12 F14 F18 F21:F22 F25 F28 F32 F34:F1048541" xr:uid="{4198B856-B0DF-4C10-9080-57374122199B}">
      <formula1>$P$2:$P$29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949B2-545E-45F9-A1A3-7BBF21B3636C}">
  <sheetPr codeName="Sheet5"/>
  <dimension ref="A1:A29"/>
  <sheetViews>
    <sheetView tabSelected="1" workbookViewId="0">
      <selection activeCell="G6" sqref="G6"/>
    </sheetView>
  </sheetViews>
  <sheetFormatPr defaultRowHeight="15" x14ac:dyDescent="0.3"/>
  <sheetData>
    <row r="1" spans="1:1" x14ac:dyDescent="0.3">
      <c r="A1" t="s">
        <v>259</v>
      </c>
    </row>
    <row r="2" spans="1:1" x14ac:dyDescent="0.3">
      <c r="A2" t="s">
        <v>260</v>
      </c>
    </row>
    <row r="3" spans="1:1" x14ac:dyDescent="0.3">
      <c r="A3" t="s">
        <v>261</v>
      </c>
    </row>
    <row r="4" spans="1:1" x14ac:dyDescent="0.3">
      <c r="A4" t="s">
        <v>262</v>
      </c>
    </row>
    <row r="5" spans="1:1" x14ac:dyDescent="0.3">
      <c r="A5" t="s">
        <v>263</v>
      </c>
    </row>
    <row r="6" spans="1:1" x14ac:dyDescent="0.3">
      <c r="A6" t="s">
        <v>264</v>
      </c>
    </row>
    <row r="7" spans="1:1" x14ac:dyDescent="0.3">
      <c r="A7" t="s">
        <v>265</v>
      </c>
    </row>
    <row r="8" spans="1:1" x14ac:dyDescent="0.3">
      <c r="A8" t="s">
        <v>266</v>
      </c>
    </row>
    <row r="9" spans="1:1" x14ac:dyDescent="0.3">
      <c r="A9" t="s">
        <v>267</v>
      </c>
    </row>
    <row r="10" spans="1:1" x14ac:dyDescent="0.3">
      <c r="A10" t="s">
        <v>268</v>
      </c>
    </row>
    <row r="11" spans="1:1" x14ac:dyDescent="0.3">
      <c r="A11" t="s">
        <v>269</v>
      </c>
    </row>
    <row r="12" spans="1:1" x14ac:dyDescent="0.3">
      <c r="A12" t="s">
        <v>270</v>
      </c>
    </row>
    <row r="13" spans="1:1" x14ac:dyDescent="0.3">
      <c r="A13" t="s">
        <v>271</v>
      </c>
    </row>
    <row r="14" spans="1:1" x14ac:dyDescent="0.3">
      <c r="A14" t="s">
        <v>272</v>
      </c>
    </row>
    <row r="15" spans="1:1" x14ac:dyDescent="0.3">
      <c r="A15" t="s">
        <v>272</v>
      </c>
    </row>
    <row r="16" spans="1:1" x14ac:dyDescent="0.3">
      <c r="A16" t="s">
        <v>273</v>
      </c>
    </row>
    <row r="17" spans="1:1" x14ac:dyDescent="0.3">
      <c r="A17" t="s">
        <v>264</v>
      </c>
    </row>
    <row r="18" spans="1:1" x14ac:dyDescent="0.3">
      <c r="A18" t="s">
        <v>269</v>
      </c>
    </row>
    <row r="19" spans="1:1" x14ac:dyDescent="0.3">
      <c r="A19" t="s">
        <v>272</v>
      </c>
    </row>
    <row r="20" spans="1:1" x14ac:dyDescent="0.3">
      <c r="A20" t="s">
        <v>274</v>
      </c>
    </row>
    <row r="21" spans="1:1" x14ac:dyDescent="0.3">
      <c r="A21" t="s">
        <v>269</v>
      </c>
    </row>
    <row r="22" spans="1:1" x14ac:dyDescent="0.3">
      <c r="A22" t="s">
        <v>275</v>
      </c>
    </row>
    <row r="23" spans="1:1" x14ac:dyDescent="0.3">
      <c r="A23" t="s">
        <v>272</v>
      </c>
    </row>
    <row r="24" spans="1:1" x14ac:dyDescent="0.3">
      <c r="A24" t="s">
        <v>275</v>
      </c>
    </row>
    <row r="25" spans="1:1" x14ac:dyDescent="0.3">
      <c r="A25" t="s">
        <v>276</v>
      </c>
    </row>
    <row r="26" spans="1:1" x14ac:dyDescent="0.3">
      <c r="A26" t="s">
        <v>277</v>
      </c>
    </row>
    <row r="27" spans="1:1" x14ac:dyDescent="0.3">
      <c r="A27" t="s">
        <v>270</v>
      </c>
    </row>
    <row r="28" spans="1:1" x14ac:dyDescent="0.3">
      <c r="A28" t="s">
        <v>278</v>
      </c>
    </row>
    <row r="29" spans="1:1" x14ac:dyDescent="0.3">
      <c r="A29" t="s">
        <v>270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</vt:lpstr>
      <vt:lpstr>processing-1</vt:lpstr>
      <vt:lpstr>processing-2</vt:lpstr>
      <vt:lpstr>SpeechStat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Wanting</cp:lastModifiedBy>
  <dcterms:created xsi:type="dcterms:W3CDTF">2021-09-14T06:32:16Z</dcterms:created>
  <dcterms:modified xsi:type="dcterms:W3CDTF">2022-11-08T01:11:27Z</dcterms:modified>
</cp:coreProperties>
</file>